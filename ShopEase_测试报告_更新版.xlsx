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概要" sheetId="1" state="visible" r:id="rId3"/>
    <sheet name="测试用例" sheetId="2" state="visible" r:id="rId4"/>
    <sheet name="Bug汇总" sheetId="3" state="visible" r:id="rId5"/>
  </sheets>
  <definedNames>
    <definedName function="false" hidden="true" localSheetId="2" name="_xlnm._FilterDatabase" vbProcedure="false">Bug汇总!$A$1:$M$13</definedName>
    <definedName function="false" hidden="true" localSheetId="1" name="_xlnm._FilterDatabase" vbProcedure="false">测试用例!$A$1:$P$52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<sst xmlns="http://schemas.openxmlformats.org/spreadsheetml/2006/main" count="940" uniqueCount="450">
  <si>
    <r>
      <rPr>
        <b val="true"/>
        <sz val="14"/>
        <rFont val="Arial"/>
        <family val="0"/>
        <charset val="1"/>
      </rPr>
      <t xml:space="preserve">ShopEase </t>
    </r>
    <r>
      <rPr>
        <b val="true"/>
        <sz val="14"/>
        <rFont val="Noto Sans CJK SC"/>
        <family val="2"/>
      </rPr>
      <t xml:space="preserve">接口测试报告：测试概要</t>
    </r>
  </si>
  <si>
    <t xml:space="preserve">项目</t>
  </si>
  <si>
    <t xml:space="preserve">内容</t>
  </si>
  <si>
    <t xml:space="preserve">说明</t>
  </si>
  <si>
    <t xml:space="preserve">被测系统</t>
  </si>
  <si>
    <r>
      <rPr>
        <sz val="10"/>
        <rFont val="Arial"/>
        <family val="0"/>
        <charset val="1"/>
      </rPr>
      <t xml:space="preserve">ShopEase </t>
    </r>
    <r>
      <rPr>
        <sz val="10"/>
        <rFont val="Noto Sans CJK SC"/>
        <family val="2"/>
      </rPr>
      <t xml:space="preserve">电商平台（毕业设计）</t>
    </r>
  </si>
  <si>
    <r>
      <rPr>
        <sz val="10"/>
        <rFont val="Noto Sans CJK SC"/>
        <family val="2"/>
      </rPr>
      <t xml:space="preserve">前端原生 </t>
    </r>
    <r>
      <rPr>
        <sz val="10"/>
        <rFont val="Arial"/>
        <family val="0"/>
        <charset val="1"/>
      </rPr>
      <t xml:space="preserve">JavaScript </t>
    </r>
    <r>
      <rPr>
        <sz val="10"/>
        <rFont val="Noto Sans CJK SC"/>
        <family val="2"/>
      </rPr>
      <t xml:space="preserve">单页应用，后端 </t>
    </r>
    <r>
      <rPr>
        <sz val="10"/>
        <rFont val="Arial"/>
        <family val="0"/>
        <charset val="1"/>
      </rPr>
      <t xml:space="preserve">PHP </t>
    </r>
    <r>
      <rPr>
        <sz val="10"/>
        <rFont val="Noto Sans CJK SC"/>
        <family val="2"/>
      </rPr>
      <t xml:space="preserve">接口，数据库 </t>
    </r>
    <r>
      <rPr>
        <sz val="10"/>
        <rFont val="Arial"/>
        <family val="0"/>
        <charset val="1"/>
      </rPr>
      <t xml:space="preserve">MariaDB</t>
    </r>
  </si>
  <si>
    <t xml:space="preserve">测试范围</t>
  </si>
  <si>
    <r>
      <rPr>
        <sz val="10"/>
        <rFont val="Arial"/>
        <family val="0"/>
        <charset val="1"/>
      </rPr>
      <t xml:space="preserve">products.php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orders.php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users.php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wishlist.php </t>
    </r>
    <r>
      <rPr>
        <sz val="10"/>
        <rFont val="Noto Sans CJK SC"/>
        <family val="2"/>
      </rPr>
      <t xml:space="preserve">四类接口</t>
    </r>
  </si>
  <si>
    <r>
      <rPr>
        <sz val="10"/>
        <rFont val="Noto Sans CJK SC"/>
        <family val="2"/>
      </rPr>
      <t xml:space="preserve">另含前端 </t>
    </r>
    <r>
      <rPr>
        <sz val="10"/>
        <rFont val="Arial"/>
        <family val="0"/>
        <charset val="1"/>
      </rPr>
      <t xml:space="preserve">XSS </t>
    </r>
    <r>
      <rPr>
        <sz val="10"/>
        <rFont val="Noto Sans CJK SC"/>
        <family val="2"/>
      </rPr>
      <t xml:space="preserve">检查、数据库密码存储检查、网页主流程验证</t>
    </r>
  </si>
  <si>
    <t xml:space="preserve">测试方式</t>
  </si>
  <si>
    <r>
      <rPr>
        <sz val="10"/>
        <rFont val="Arial"/>
        <family val="0"/>
        <charset val="1"/>
      </rPr>
      <t xml:space="preserve">Postman </t>
    </r>
    <r>
      <rPr>
        <sz val="10"/>
        <rFont val="Noto Sans CJK SC"/>
        <family val="2"/>
      </rPr>
      <t xml:space="preserve">手工接口测试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浏览器手工验证</t>
    </r>
  </si>
  <si>
    <t xml:space="preserve">未做自动化</t>
  </si>
  <si>
    <t xml:space="preserve">测试环境</t>
  </si>
  <si>
    <r>
      <rPr>
        <sz val="10"/>
        <rFont val="Arial"/>
        <family val="0"/>
        <charset val="1"/>
      </rPr>
      <t xml:space="preserve">Windows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XAMPP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Apache 2.4.58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PHP 8.2.12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MariaDB 10.4.32</t>
    </r>
  </si>
  <si>
    <r>
      <rPr>
        <sz val="10"/>
        <rFont val="Noto Sans CJK SC"/>
        <family val="2"/>
      </rPr>
      <t xml:space="preserve">浏览器 </t>
    </r>
    <r>
      <rPr>
        <sz val="10"/>
        <rFont val="Arial"/>
        <family val="0"/>
        <charset val="1"/>
      </rPr>
      <t xml:space="preserve">Edge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Postman </t>
    </r>
    <r>
      <rPr>
        <sz val="10"/>
        <rFont val="Noto Sans CJK SC"/>
        <family val="2"/>
      </rPr>
      <t xml:space="preserve">版本：待补充</t>
    </r>
  </si>
  <si>
    <t xml:space="preserve">测试人</t>
  </si>
  <si>
    <t xml:space="preserve">Han Kunyi</t>
  </si>
  <si>
    <t xml:space="preserve">首轮测试</t>
  </si>
  <si>
    <r>
      <rPr>
        <sz val="10"/>
        <rFont val="Noto Sans CJK SC"/>
        <family val="2"/>
      </rPr>
      <t xml:space="preserve">约 </t>
    </r>
    <r>
      <rPr>
        <sz val="10"/>
        <rFont val="Arial"/>
        <family val="0"/>
        <charset val="1"/>
      </rPr>
      <t xml:space="preserve">2026-10-10</t>
    </r>
  </si>
  <si>
    <r>
      <rPr>
        <sz val="10"/>
        <rFont val="Arial"/>
        <family val="0"/>
        <charset val="1"/>
      </rPr>
      <t xml:space="preserve">33 </t>
    </r>
    <r>
      <rPr>
        <sz val="10"/>
        <rFont val="Noto Sans CJK SC"/>
        <family val="2"/>
      </rPr>
      <t xml:space="preserve">条用例；日期依据首轮创建的测试订单（</t>
    </r>
    <r>
      <rPr>
        <sz val="10"/>
        <rFont val="Arial"/>
        <family val="0"/>
        <charset val="1"/>
      </rPr>
      <t xml:space="preserve">id 20</t>
    </r>
    <r>
      <rPr>
        <sz val="10"/>
        <rFont val="Noto Sans CJK SC"/>
        <family val="2"/>
      </rPr>
      <t xml:space="preserve">）推断</t>
    </r>
  </si>
  <si>
    <t xml:space="preserve">复测与补测</t>
  </si>
  <si>
    <t xml:space="preserve">2026-10-18</t>
  </si>
  <si>
    <r>
      <rPr>
        <sz val="10"/>
        <rFont val="Noto Sans CJK SC"/>
        <family val="2"/>
      </rPr>
      <t xml:space="preserve">复测首轮失败的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条用例，并补测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条新用例（安全、权限、超长输入）</t>
    </r>
  </si>
  <si>
    <t xml:space="preserve">修复与回归</t>
  </si>
  <si>
    <r>
      <rPr>
        <sz val="10"/>
        <rFont val="Noto Sans CJK SC"/>
        <family val="2"/>
      </rPr>
      <t xml:space="preserve">修复 </t>
    </r>
    <r>
      <rPr>
        <sz val="10"/>
        <rFont val="Arial"/>
        <family val="0"/>
        <charset val="1"/>
      </rPr>
      <t xml:space="preserve">BUG-004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012 </t>
    </r>
    <r>
      <rPr>
        <sz val="10"/>
        <rFont val="Noto Sans CJK SC"/>
        <family val="2"/>
      </rPr>
      <t xml:space="preserve">后进行第二轮回归，新增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条权限和主流程用例</t>
    </r>
  </si>
  <si>
    <t xml:space="preserve">测试结论</t>
  </si>
  <si>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个缺陷已全部修复并回归通过</t>
    </r>
  </si>
  <si>
    <t xml:space="preserve">仍有若干已知风险未处理，见下方“已知风险”</t>
  </si>
  <si>
    <t xml:space="preserve">指标</t>
  </si>
  <si>
    <t xml:space="preserve">数值</t>
  </si>
  <si>
    <t xml:space="preserve">用例总数</t>
  </si>
  <si>
    <r>
      <rPr>
        <sz val="10"/>
        <rFont val="Noto Sans CJK SC"/>
        <family val="2"/>
      </rPr>
      <t xml:space="preserve">首轮 </t>
    </r>
    <r>
      <rPr>
        <sz val="10"/>
        <rFont val="Arial"/>
        <family val="0"/>
        <charset val="1"/>
      </rPr>
      <t xml:space="preserve">33 + </t>
    </r>
    <r>
      <rPr>
        <sz val="10"/>
        <rFont val="Noto Sans CJK SC"/>
        <family val="2"/>
      </rPr>
      <t xml:space="preserve">补测 </t>
    </r>
    <r>
      <rPr>
        <sz val="10"/>
        <rFont val="Arial"/>
        <family val="0"/>
        <charset val="1"/>
      </rPr>
      <t xml:space="preserve">10 + </t>
    </r>
    <r>
      <rPr>
        <sz val="10"/>
        <rFont val="Noto Sans CJK SC"/>
        <family val="2"/>
      </rPr>
      <t xml:space="preserve">修复后新增 </t>
    </r>
    <r>
      <rPr>
        <sz val="10"/>
        <rFont val="Arial"/>
        <family val="0"/>
        <charset val="1"/>
      </rPr>
      <t xml:space="preserve">8</t>
    </r>
  </si>
  <si>
    <t xml:space="preserve">通过（各用例首次执行）</t>
  </si>
  <si>
    <t xml:space="preserve">不含复测和回归结果</t>
  </si>
  <si>
    <t xml:space="preserve">失败（各用例首次执行）</t>
  </si>
  <si>
    <t xml:space="preserve">首次执行通过率</t>
  </si>
  <si>
    <t xml:space="preserve">缺陷总数</t>
  </si>
  <si>
    <t xml:space="preserve">严重程度：高</t>
  </si>
  <si>
    <t xml:space="preserve">严重程度：中</t>
  </si>
  <si>
    <t xml:space="preserve">严重程度：低</t>
  </si>
  <si>
    <t xml:space="preserve">状态：已修复</t>
  </si>
  <si>
    <t xml:space="preserve">状态：未修复</t>
  </si>
  <si>
    <t xml:space="preserve">状态：新建</t>
  </si>
  <si>
    <t xml:space="preserve">缺陷修复率</t>
  </si>
  <si>
    <r>
      <rPr>
        <sz val="10"/>
        <rFont val="Noto Sans CJK SC"/>
        <family val="2"/>
      </rPr>
      <t xml:space="preserve">已修复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缺陷总数</t>
    </r>
  </si>
  <si>
    <t xml:space="preserve">第一轮复测通过</t>
  </si>
  <si>
    <r>
      <rPr>
        <sz val="10"/>
        <rFont val="Noto Sans CJK SC"/>
        <family val="2"/>
      </rPr>
      <t xml:space="preserve">首轮失败的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条用例</t>
    </r>
  </si>
  <si>
    <t xml:space="preserve">第一轮复测仍失败</t>
  </si>
  <si>
    <t xml:space="preserve">该缺陷已在第二轮修复</t>
  </si>
  <si>
    <t xml:space="preserve">修复后回归通过</t>
  </si>
  <si>
    <t xml:space="preserve">受影响的用户和订单用例</t>
  </si>
  <si>
    <t xml:space="preserve">修复后回归失败</t>
  </si>
  <si>
    <t xml:space="preserve">覆盖与范围</t>
  </si>
  <si>
    <t xml:space="preserve">已覆盖</t>
  </si>
  <si>
    <r>
      <rPr>
        <sz val="10"/>
        <rFont val="Noto Sans CJK SC"/>
        <family val="2"/>
      </rPr>
      <t xml:space="preserve">正常流程；必填与格式校验；重复和不存在的数据；筛选、搜索、排序；</t>
    </r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注入（登录、搜索、分类）；未登录、普通用户、管理员三种身份的订单访问和修改权限；超长输入；前端用户名 </t>
    </r>
    <r>
      <rPr>
        <sz val="10"/>
        <rFont val="Arial"/>
        <family val="0"/>
        <charset val="1"/>
      </rPr>
      <t xml:space="preserve">XSS</t>
    </r>
    <r>
      <rPr>
        <sz val="10"/>
        <rFont val="Noto Sans CJK SC"/>
        <family val="2"/>
      </rPr>
      <t xml:space="preserve">（仅页头）；密码哈希存储；网页下单和后台订单主流程</t>
    </r>
  </si>
  <si>
    <t xml:space="preserve">回归范围</t>
  </si>
  <si>
    <r>
      <rPr>
        <sz val="10"/>
        <rFont val="Noto Sans CJK SC"/>
        <family val="2"/>
      </rPr>
      <t xml:space="preserve">第一轮：复测首轮失败的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条；第二轮（修复后）：重测受影响的用户和订单接口用例，新增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条权限和主流程用例。商品、愿望清单接口代码未改动，未回归</t>
    </r>
  </si>
  <si>
    <t xml:space="preserve">未覆盖</t>
  </si>
  <si>
    <r>
      <rPr>
        <sz val="10"/>
        <rFont val="Noto Sans CJK SC"/>
        <family val="2"/>
      </rPr>
      <t xml:space="preserve">并发与压力测试；响应时间断言；页头以外页面的 </t>
    </r>
    <r>
      <rPr>
        <sz val="10"/>
        <rFont val="Arial"/>
        <family val="0"/>
        <charset val="1"/>
      </rPr>
      <t xml:space="preserve">XSS</t>
    </r>
    <r>
      <rPr>
        <sz val="10"/>
        <rFont val="Noto Sans CJK SC"/>
        <family val="2"/>
      </rPr>
      <t xml:space="preserve">；商品和愿望清单接口的修复后回归；自动化回归</t>
    </r>
  </si>
  <si>
    <t xml:space="preserve">已知风险（未处理）</t>
  </si>
  <si>
    <t xml:space="preserve">1</t>
  </si>
  <si>
    <r>
      <rPr>
        <sz val="10"/>
        <rFont val="Arial"/>
        <family val="0"/>
        <charset val="1"/>
      </rPr>
      <t xml:space="preserve">wishlist.php </t>
    </r>
    <r>
      <rPr>
        <sz val="10"/>
        <rFont val="Noto Sans CJK SC"/>
        <family val="2"/>
      </rPr>
      <t xml:space="preserve">按地址中的 </t>
    </r>
    <r>
      <rPr>
        <sz val="10"/>
        <rFont val="Arial"/>
        <family val="0"/>
        <charset val="1"/>
      </rPr>
      <t xml:space="preserve">user_id </t>
    </r>
    <r>
      <rPr>
        <sz val="10"/>
        <rFont val="Noto Sans CJK SC"/>
        <family val="2"/>
      </rPr>
      <t xml:space="preserve">返回数据，未校验登录，与 </t>
    </r>
    <r>
      <rPr>
        <sz val="10"/>
        <rFont val="Arial"/>
        <family val="0"/>
        <charset val="1"/>
      </rPr>
      <t xml:space="preserve">BUG-011 </t>
    </r>
    <r>
      <rPr>
        <sz val="10"/>
        <rFont val="Noto Sans CJK SC"/>
        <family val="2"/>
      </rPr>
      <t xml:space="preserve">同类（未单独测试，未修复）</t>
    </r>
  </si>
  <si>
    <t xml:space="preserve">2</t>
  </si>
  <si>
    <r>
      <rPr>
        <sz val="10"/>
        <rFont val="Noto Sans CJK SC"/>
        <family val="2"/>
      </rPr>
      <t xml:space="preserve">下单接口的 </t>
    </r>
    <r>
      <rPr>
        <sz val="10"/>
        <rFont val="Arial"/>
        <family val="0"/>
        <charset val="1"/>
      </rPr>
      <t xml:space="preserve">user_id </t>
    </r>
    <r>
      <rPr>
        <sz val="10"/>
        <rFont val="Noto Sans CJK SC"/>
        <family val="2"/>
      </rPr>
      <t xml:space="preserve">由请求体传入，未与登录用户核对，可能把订单记到他人名下（代码审查发现，未测试）</t>
    </r>
  </si>
  <si>
    <t xml:space="preserve">3</t>
  </si>
  <si>
    <r>
      <rPr>
        <sz val="10"/>
        <rFont val="Noto Sans CJK SC"/>
        <family val="2"/>
      </rPr>
      <t xml:space="preserve">下单时未校验商品是否存在：</t>
    </r>
    <r>
      <rPr>
        <sz val="10"/>
        <rFont val="Arial"/>
        <family val="0"/>
        <charset val="1"/>
      </rPr>
      <t xml:space="preserve">TC17 </t>
    </r>
    <r>
      <rPr>
        <sz val="10"/>
        <rFont val="Noto Sans CJK SC"/>
        <family val="2"/>
      </rPr>
      <t xml:space="preserve">创建的订单中商品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、名称 </t>
    </r>
    <r>
      <rPr>
        <sz val="10"/>
        <rFont val="Arial"/>
        <family val="0"/>
        <charset val="1"/>
      </rPr>
      <t xml:space="preserve">Unknown</t>
    </r>
    <r>
      <rPr>
        <sz val="10"/>
        <rFont val="Noto Sans CJK SC"/>
        <family val="2"/>
      </rPr>
      <t xml:space="preserve">（测试中观察到）</t>
    </r>
  </si>
  <si>
    <t xml:space="preserve">4</t>
  </si>
  <si>
    <r>
      <rPr>
        <sz val="10"/>
        <rFont val="Noto Sans CJK SC"/>
        <family val="2"/>
      </rPr>
      <t xml:space="preserve">订单接口返回的字段类型不一致：列表中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为字符串，按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查询时为数字（测试中观察到）</t>
    </r>
  </si>
  <si>
    <t xml:space="preserve">5</t>
  </si>
  <si>
    <r>
      <rPr>
        <sz val="10"/>
        <rFont val="Noto Sans CJK SC"/>
        <family val="2"/>
      </rPr>
      <t xml:space="preserve">部分历史订单 </t>
    </r>
    <r>
      <rPr>
        <sz val="10"/>
        <rFont val="Arial"/>
        <family val="0"/>
        <charset val="1"/>
      </rPr>
      <t xml:space="preserve">user_id </t>
    </r>
    <r>
      <rPr>
        <sz val="10"/>
        <rFont val="Noto Sans CJK SC"/>
        <family val="2"/>
      </rPr>
      <t xml:space="preserve">为空，需确认是否为游客下单的设计（待确认）</t>
    </r>
  </si>
  <si>
    <t xml:space="preserve">修订记录</t>
  </si>
  <si>
    <r>
      <rPr>
        <sz val="10"/>
        <rFont val="Noto Sans CJK SC"/>
        <family val="2"/>
      </rPr>
      <t xml:space="preserve">测试用例表新增“复测结果、复测实际结果、备注”；</t>
    </r>
    <r>
      <rPr>
        <sz val="10"/>
        <rFont val="Arial"/>
        <family val="0"/>
        <charset val="1"/>
      </rPr>
      <t xml:space="preserve">Bug </t>
    </r>
    <r>
      <rPr>
        <sz val="10"/>
        <rFont val="Noto Sans CJK SC"/>
        <family val="2"/>
      </rPr>
      <t xml:space="preserve">汇总表新增“优先级（建议）、复现步骤、状态、回归结果、回归日期、备注”</t>
    </r>
  </si>
  <si>
    <r>
      <rPr>
        <sz val="10"/>
        <rFont val="Arial"/>
        <family val="0"/>
        <charset val="1"/>
      </rPr>
      <t xml:space="preserve">TC05 </t>
    </r>
    <r>
      <rPr>
        <sz val="10"/>
        <rFont val="Noto Sans CJK SC"/>
        <family val="2"/>
      </rPr>
      <t xml:space="preserve">预期结果修订：统一提示账号或密码错误是防用户枚举的合理设计</t>
    </r>
  </si>
  <si>
    <r>
      <rPr>
        <sz val="10"/>
        <rFont val="Arial"/>
        <family val="0"/>
        <charset val="1"/>
      </rPr>
      <t xml:space="preserve">BUG-004 </t>
    </r>
    <r>
      <rPr>
        <sz val="10"/>
        <rFont val="Noto Sans CJK SC"/>
        <family val="2"/>
      </rPr>
      <t xml:space="preserve">描述修订：触发条件是请求缺少 </t>
    </r>
    <r>
      <rPr>
        <sz val="10"/>
        <rFont val="Arial"/>
        <family val="0"/>
        <charset val="1"/>
      </rPr>
      <t xml:space="preserve">action </t>
    </r>
    <r>
      <rPr>
        <sz val="10"/>
        <rFont val="Noto Sans CJK SC"/>
        <family val="2"/>
      </rPr>
      <t xml:space="preserve">字段，并新增对应用例 </t>
    </r>
    <r>
      <rPr>
        <sz val="10"/>
        <rFont val="Arial"/>
        <family val="0"/>
        <charset val="1"/>
      </rPr>
      <t xml:space="preserve">TC34</t>
    </r>
  </si>
  <si>
    <r>
      <rPr>
        <sz val="10"/>
        <rFont val="Noto Sans CJK SC"/>
        <family val="2"/>
      </rPr>
      <t xml:space="preserve">新增补测用例 </t>
    </r>
    <r>
      <rPr>
        <sz val="10"/>
        <rFont val="Arial"/>
        <family val="0"/>
        <charset val="1"/>
      </rPr>
      <t xml:space="preserve">TC34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TC43</t>
    </r>
    <r>
      <rPr>
        <sz val="10"/>
        <rFont val="Noto Sans CJK SC"/>
        <family val="2"/>
      </rPr>
      <t xml:space="preserve">；新增缺陷 </t>
    </r>
    <r>
      <rPr>
        <sz val="10"/>
        <rFont val="Arial"/>
        <family val="0"/>
        <charset val="1"/>
      </rPr>
      <t xml:space="preserve">BUG-010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BUG-012</t>
    </r>
  </si>
  <si>
    <r>
      <rPr>
        <sz val="10"/>
        <rFont val="Noto Sans CJK SC"/>
        <family val="2"/>
      </rPr>
      <t xml:space="preserve">修复 </t>
    </r>
    <r>
      <rPr>
        <sz val="10"/>
        <rFont val="Arial"/>
        <family val="0"/>
        <charset val="1"/>
      </rPr>
      <t xml:space="preserve">BUG-004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005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012</t>
    </r>
    <r>
      <rPr>
        <sz val="10"/>
        <rFont val="Noto Sans CJK SC"/>
        <family val="2"/>
      </rPr>
      <t xml:space="preserve">；测试用例表新增“修复后回归”两列；新增 </t>
    </r>
    <r>
      <rPr>
        <sz val="10"/>
        <rFont val="Arial"/>
        <family val="0"/>
        <charset val="1"/>
      </rPr>
      <t xml:space="preserve">TC44 </t>
    </r>
    <r>
      <rPr>
        <sz val="10"/>
        <rFont val="Noto Sans CJK SC"/>
        <family val="2"/>
      </rPr>
      <t xml:space="preserve">到 </t>
    </r>
    <r>
      <rPr>
        <sz val="10"/>
        <rFont val="Arial"/>
        <family val="0"/>
        <charset val="1"/>
      </rPr>
      <t xml:space="preserve">TC51</t>
    </r>
  </si>
  <si>
    <t xml:space="preserve">6</t>
  </si>
  <si>
    <r>
      <rPr>
        <sz val="10"/>
        <rFont val="Arial"/>
        <family val="0"/>
        <charset val="1"/>
      </rPr>
      <t xml:space="preserve">TC06 </t>
    </r>
    <r>
      <rPr>
        <sz val="10"/>
        <rFont val="Noto Sans CJK SC"/>
        <family val="2"/>
      </rPr>
      <t xml:space="preserve">因订单接口改为需要登录，在备注中说明新的预期</t>
    </r>
  </si>
  <si>
    <t xml:space="preserve">用例编号</t>
  </si>
  <si>
    <t xml:space="preserve">模块</t>
  </si>
  <si>
    <t xml:space="preserve">接口</t>
  </si>
  <si>
    <t xml:space="preserve">方法</t>
  </si>
  <si>
    <t xml:space="preserve">测试场景</t>
  </si>
  <si>
    <t xml:space="preserve">请求地址</t>
  </si>
  <si>
    <t xml:space="preserve">请求Body</t>
  </si>
  <si>
    <t xml:space="preserve">预期结果</t>
  </si>
  <si>
    <t xml:space="preserve">实际结果</t>
  </si>
  <si>
    <t xml:space="preserve">是否通过</t>
  </si>
  <si>
    <r>
      <rPr>
        <b val="true"/>
        <sz val="11"/>
        <color rgb="FFFFFFFF"/>
        <rFont val="Arial"/>
        <family val="0"/>
        <charset val="1"/>
      </rPr>
      <t xml:space="preserve">Bug</t>
    </r>
    <r>
      <rPr>
        <b val="true"/>
        <sz val="11"/>
        <color rgb="FFFFFFFF"/>
        <rFont val="Noto Sans CJK SC"/>
        <family val="2"/>
      </rPr>
      <t xml:space="preserve">编号</t>
    </r>
  </si>
  <si>
    <t xml:space="preserve">复测结果（2026-10-18）</t>
  </si>
  <si>
    <t xml:space="preserve">复测实际结果</t>
  </si>
  <si>
    <t xml:space="preserve">备注</t>
  </si>
  <si>
    <t xml:space="preserve">修复后回归（第二轮）</t>
  </si>
  <si>
    <t xml:space="preserve">修复后回归实际结果</t>
  </si>
  <si>
    <t xml:space="preserve">TC01</t>
  </si>
  <si>
    <t xml:space="preserve">商品</t>
  </si>
  <si>
    <t xml:space="preserve">products.php</t>
  </si>
  <si>
    <t xml:space="preserve">GET</t>
  </si>
  <si>
    <t xml:space="preserve">获取全部商品列表</t>
  </si>
  <si>
    <t xml:space="preserve">-</t>
  </si>
  <si>
    <t xml:space="preserve">返回所有商品数据，success:true</t>
  </si>
  <si>
    <t xml:space="preserve">返回8条商品，success:true</t>
  </si>
  <si>
    <t xml:space="preserve">✅ 通过</t>
  </si>
  <si>
    <t xml:space="preserve">未复测</t>
  </si>
  <si>
    <t xml:space="preserve">不涉及（接口未改动）</t>
  </si>
  <si>
    <t xml:space="preserve">TC02</t>
  </si>
  <si>
    <t xml:space="preserve">用户</t>
  </si>
  <si>
    <t xml:space="preserve">users.php</t>
  </si>
  <si>
    <t xml:space="preserve">POST</t>
  </si>
  <si>
    <t xml:space="preserve">错误密码登录</t>
  </si>
  <si>
    <r>
      <rPr>
        <sz val="10"/>
        <rFont val="Arial"/>
        <family val="0"/>
        <charset val="1"/>
      </rPr>
      <t xml:space="preserve">action:login, email:</t>
    </r>
    <r>
      <rPr>
        <sz val="10"/>
        <rFont val="Noto Sans CJK SC"/>
        <family val="2"/>
      </rPr>
      <t xml:space="preserve">正确</t>
    </r>
    <r>
      <rPr>
        <sz val="10"/>
        <rFont val="Arial"/>
        <family val="0"/>
        <charset val="1"/>
      </rPr>
      <t xml:space="preserve">, password:</t>
    </r>
    <r>
      <rPr>
        <sz val="10"/>
        <rFont val="Noto Sans CJK SC"/>
        <family val="2"/>
      </rPr>
      <t xml:space="preserve">错误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</si>
  <si>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，提示密码错误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</si>
  <si>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Incorrect email or password</t>
    </r>
  </si>
  <si>
    <t xml:space="preserve">未回归</t>
  </si>
  <si>
    <t xml:space="preserve">TC03</t>
  </si>
  <si>
    <t xml:space="preserve">正确账号密码登录</t>
  </si>
  <si>
    <r>
      <rPr>
        <sz val="10"/>
        <rFont val="Arial"/>
        <family val="0"/>
        <charset val="1"/>
      </rPr>
      <t xml:space="preserve">action:login, email:</t>
    </r>
    <r>
      <rPr>
        <sz val="10"/>
        <rFont val="Noto Sans CJK SC"/>
        <family val="2"/>
      </rPr>
      <t xml:space="preserve">正确</t>
    </r>
    <r>
      <rPr>
        <sz val="10"/>
        <rFont val="Arial"/>
        <family val="0"/>
        <charset val="1"/>
      </rPr>
      <t xml:space="preserve">, password:</t>
    </r>
    <r>
      <rPr>
        <sz val="10"/>
        <rFont val="Noto Sans CJK SC"/>
        <family val="2"/>
      </rPr>
      <t xml:space="preserve">正确</t>
    </r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</si>
  <si>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，返回用户信息</t>
    </r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</si>
  <si>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，返回用户信息和</t>
    </r>
    <r>
      <rPr>
        <sz val="10"/>
        <rFont val="Arial"/>
        <family val="0"/>
        <charset val="1"/>
      </rPr>
      <t xml:space="preserve">role:admin</t>
    </r>
  </si>
  <si>
    <t xml:space="preserve">普通用户和管理员登录均成功</t>
  </si>
  <si>
    <t xml:space="preserve">TC04</t>
  </si>
  <si>
    <t xml:space="preserve">空密码登录</t>
  </si>
  <si>
    <r>
      <rPr>
        <sz val="10"/>
        <rFont val="Arial"/>
        <family val="0"/>
        <charset val="1"/>
      </rPr>
      <t xml:space="preserve">action:login, email:</t>
    </r>
    <r>
      <rPr>
        <sz val="10"/>
        <rFont val="Noto Sans CJK SC"/>
        <family val="2"/>
      </rPr>
      <t xml:space="preserve">正确</t>
    </r>
    <r>
      <rPr>
        <sz val="10"/>
        <rFont val="Arial"/>
        <family val="0"/>
        <charset val="1"/>
      </rPr>
      <t xml:space="preserve">, password:</t>
    </r>
    <r>
      <rPr>
        <sz val="10"/>
        <rFont val="Noto Sans CJK SC"/>
        <family val="2"/>
      </rPr>
      <t xml:space="preserve">空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</si>
  <si>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，提示必填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</si>
  <si>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Please enter your email and password</t>
    </r>
  </si>
  <si>
    <t xml:space="preserve">TC05</t>
  </si>
  <si>
    <t xml:space="preserve">未注册账号登录</t>
  </si>
  <si>
    <r>
      <rPr>
        <sz val="10"/>
        <rFont val="Arial"/>
        <family val="0"/>
        <charset val="1"/>
      </rPr>
      <t xml:space="preserve">action:login, email:</t>
    </r>
    <r>
      <rPr>
        <sz val="10"/>
        <rFont val="Noto Sans CJK SC"/>
        <family val="2"/>
      </rPr>
      <t xml:space="preserve">不存在</t>
    </r>
    <r>
      <rPr>
        <sz val="10"/>
        <rFont val="Arial"/>
        <family val="0"/>
        <charset val="1"/>
      </rPr>
      <t xml:space="preserve">, password:</t>
    </r>
    <r>
      <rPr>
        <sz val="10"/>
        <rFont val="Noto Sans CJK SC"/>
        <family val="2"/>
      </rPr>
      <t xml:space="preserve">任意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</si>
  <si>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，统一提示账号或密码错误（不暴露账号是否存在，防用户枚举）</t>
    </r>
  </si>
  <si>
    <t xml:space="preserve">预期结果已修订：原写“提示账号不存在”，实际为统一提示（防用户枚举），属合理设计</t>
  </si>
  <si>
    <r>
      <rPr>
        <sz val="10"/>
        <rFont val="Noto Sans CJK SC"/>
        <family val="2"/>
      </rPr>
      <t xml:space="preserve">仍统一提示 </t>
    </r>
    <r>
      <rPr>
        <sz val="10"/>
        <rFont val="Arial"/>
        <family val="0"/>
        <charset val="1"/>
      </rPr>
      <t xml:space="preserve">Incorrect email or password</t>
    </r>
  </si>
  <si>
    <t xml:space="preserve">TC06</t>
  </si>
  <si>
    <t xml:space="preserve">订单</t>
  </si>
  <si>
    <t xml:space="preserve">orders.php</t>
  </si>
  <si>
    <t xml:space="preserve">获取全部订单</t>
  </si>
  <si>
    <t xml:space="preserve">返回所有订单，success:true</t>
  </si>
  <si>
    <t xml:space="preserve">返回19条订单，success:true</t>
  </si>
  <si>
    <r>
      <rPr>
        <sz val="10"/>
        <rFont val="Noto Sans CJK SC"/>
        <family val="2"/>
      </rPr>
      <t xml:space="preserve">因修复 </t>
    </r>
    <r>
      <rPr>
        <sz val="10"/>
        <rFont val="Arial"/>
        <family val="0"/>
        <charset val="1"/>
      </rPr>
      <t xml:space="preserve">BUG-010</t>
    </r>
    <r>
      <rPr>
        <sz val="10"/>
        <rFont val="Noto Sans CJK SC"/>
        <family val="2"/>
      </rPr>
      <t xml:space="preserve">，订单接口改为需要登录：未登录返回 </t>
    </r>
    <r>
      <rPr>
        <sz val="10"/>
        <rFont val="Arial"/>
        <family val="0"/>
        <charset val="1"/>
      </rPr>
      <t xml:space="preserve">401</t>
    </r>
    <r>
      <rPr>
        <sz val="10"/>
        <rFont val="Noto Sans CJK SC"/>
        <family val="2"/>
      </rPr>
      <t xml:space="preserve">，普通用户只返回自己的订单，管理员返回全部。首轮预期为修复前的设计</t>
    </r>
  </si>
  <si>
    <r>
      <rPr>
        <sz val="10"/>
        <rFont val="Noto Sans CJK SC"/>
        <family val="2"/>
      </rPr>
      <t xml:space="preserve">按新设计：未登录被拒绝；普通用户只返回自己的订单；管理员返回全部（见 </t>
    </r>
    <r>
      <rPr>
        <sz val="10"/>
        <rFont val="Arial"/>
        <family val="0"/>
        <charset val="1"/>
      </rPr>
      <t xml:space="preserve">TC39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TC47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TC49</t>
    </r>
    <r>
      <rPr>
        <sz val="10"/>
        <rFont val="Noto Sans CJK SC"/>
        <family val="2"/>
      </rPr>
      <t xml:space="preserve">）</t>
    </r>
  </si>
  <si>
    <t xml:space="preserve">TC07</t>
  </si>
  <si>
    <t xml:space="preserve">按id=1查询订单</t>
  </si>
  <si>
    <t xml:space="preserve">orders.php?id=1</t>
  </si>
  <si>
    <t xml:space="preserve">只返回id=1的订单</t>
  </si>
  <si>
    <t xml:space="preserve">返回全部19条订单</t>
  </si>
  <si>
    <t xml:space="preserve">❌ 失败</t>
  </si>
  <si>
    <t xml:space="preserve">BUG-001</t>
  </si>
  <si>
    <t xml:space="preserve">只返回 id=1 的订单（1 条）</t>
  </si>
  <si>
    <r>
      <rPr>
        <sz val="10"/>
        <rFont val="Noto Sans CJK SC"/>
        <family val="2"/>
      </rPr>
      <t xml:space="preserve">管理员登录后只返回 </t>
    </r>
    <r>
      <rPr>
        <sz val="10"/>
        <rFont val="Arial"/>
        <family val="0"/>
        <charset val="1"/>
      </rPr>
      <t xml:space="preserve">id=1 </t>
    </r>
    <r>
      <rPr>
        <sz val="10"/>
        <rFont val="Noto Sans CJK SC"/>
        <family val="2"/>
      </rPr>
      <t xml:space="preserve">的订单</t>
    </r>
  </si>
  <si>
    <t xml:space="preserve">TC08</t>
  </si>
  <si>
    <t xml:space="preserve">查询不存在的订单id=9999</t>
  </si>
  <si>
    <t xml:space="preserve">orders.php?id=9999</t>
  </si>
  <si>
    <t xml:space="preserve">返回空数据或提示不存在</t>
  </si>
  <si>
    <t xml:space="preserve">BUG-002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</si>
  <si>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Order not found</t>
    </r>
  </si>
  <si>
    <r>
      <rPr>
        <sz val="10"/>
        <rFont val="Noto Sans CJK SC"/>
        <family val="2"/>
      </rPr>
      <t xml:space="preserve">管理员登录后返回 </t>
    </r>
    <r>
      <rPr>
        <sz val="10"/>
        <rFont val="Arial"/>
        <family val="0"/>
        <charset val="1"/>
      </rPr>
      <t xml:space="preserve">Order not found</t>
    </r>
  </si>
  <si>
    <t xml:space="preserve">TC09</t>
  </si>
  <si>
    <t xml:space="preserve">愿望清单</t>
  </si>
  <si>
    <t xml:space="preserve">wishlist.php</t>
  </si>
  <si>
    <t xml:space="preserve">不传user_id</t>
  </si>
  <si>
    <t xml:space="preserve">提示缺少user_id参数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</si>
  <si>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Missing user_id</t>
    </r>
  </si>
  <si>
    <t xml:space="preserve">TC10</t>
  </si>
  <si>
    <t xml:space="preserve">传user_id=1查询</t>
  </si>
  <si>
    <t xml:space="preserve">wishlist.php?user_id=1</t>
  </si>
  <si>
    <t xml:space="preserve">返回user_id=1的愿望清单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</si>
  <si>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，返回空数组</t>
    </r>
  </si>
  <si>
    <t xml:space="preserve">实际返回空数组，需确认 user_id=1 当时是否有收藏数据（前置条件待补）</t>
  </si>
  <si>
    <t xml:space="preserve">TC11</t>
  </si>
  <si>
    <t xml:space="preserve">传不存在的user_id=9999</t>
  </si>
  <si>
    <t xml:space="preserve">wishlist.php?user_id=9999</t>
  </si>
  <si>
    <t xml:space="preserve">返回空数组</t>
  </si>
  <si>
    <t xml:space="preserve">TC12</t>
  </si>
  <si>
    <t xml:space="preserve">注册新用户</t>
  </si>
  <si>
    <r>
      <rPr>
        <sz val="10"/>
        <rFont val="Arial"/>
        <family val="0"/>
        <charset val="1"/>
      </rPr>
      <t xml:space="preserve">action:register</t>
    </r>
    <r>
      <rPr>
        <sz val="10"/>
        <rFont val="Noto Sans CJK SC"/>
        <family val="2"/>
      </rPr>
      <t xml:space="preserve">，完整字段</t>
    </r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</si>
  <si>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</t>
    </r>
    <r>
      <rPr>
        <sz val="10"/>
        <rFont val="Arial"/>
        <family val="0"/>
        <charset val="1"/>
      </rPr>
      <t xml:space="preserve">id:16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role:customer</t>
    </r>
  </si>
  <si>
    <t xml:space="preserve">TC13</t>
  </si>
  <si>
    <t xml:space="preserve">重复邮箱注册</t>
  </si>
  <si>
    <r>
      <rPr>
        <sz val="10"/>
        <rFont val="Arial"/>
        <family val="0"/>
        <charset val="1"/>
      </rPr>
      <t xml:space="preserve">action:register</t>
    </r>
    <r>
      <rPr>
        <sz val="10"/>
        <rFont val="Noto Sans CJK SC"/>
        <family val="2"/>
      </rPr>
      <t xml:space="preserve">，已注册邮箱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</si>
  <si>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，提示邮箱已注册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</si>
  <si>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This email is already registered</t>
    </r>
  </si>
  <si>
    <t xml:space="preserve">TC14</t>
  </si>
  <si>
    <t xml:space="preserve">按分类electronics筛选</t>
  </si>
  <si>
    <t xml:space="preserve">products.php?category=electronics</t>
  </si>
  <si>
    <t xml:space="preserve">返回electronics分类商品</t>
  </si>
  <si>
    <t xml:space="preserve">返回5条electronics商品</t>
  </si>
  <si>
    <t xml:space="preserve">TC15</t>
  </si>
  <si>
    <t xml:space="preserve">搜索存在关键词iPhone</t>
  </si>
  <si>
    <t xml:space="preserve">products.php?search=iPhone</t>
  </si>
  <si>
    <t xml:space="preserve">返回包含iPhone的商品</t>
  </si>
  <si>
    <t xml:space="preserve">返回1条iPhone商品</t>
  </si>
  <si>
    <t xml:space="preserve">TC16</t>
  </si>
  <si>
    <t xml:space="preserve">搜索不存在关键词xyzabc123</t>
  </si>
  <si>
    <t xml:space="preserve">products.php?search=xyzabc123</t>
  </si>
  <si>
    <t xml:space="preserve">TC17</t>
  </si>
  <si>
    <t xml:space="preserve">创建新订单（完整字段）</t>
  </si>
  <si>
    <t xml:space="preserve">完整订单数据+items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</si>
  <si>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</t>
    </r>
    <r>
      <rPr>
        <sz val="10"/>
        <rFont val="Arial"/>
        <family val="0"/>
        <charset val="1"/>
      </rPr>
      <t xml:space="preserve">order_id</t>
    </r>
    <r>
      <rPr>
        <sz val="10"/>
        <rFont val="Noto Sans CJK SC"/>
        <family val="2"/>
      </rPr>
      <t xml:space="preserve">和</t>
    </r>
    <r>
      <rPr>
        <sz val="10"/>
        <rFont val="Arial"/>
        <family val="0"/>
        <charset val="1"/>
      </rPr>
      <t xml:space="preserve">tracking</t>
    </r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</si>
  <si>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order_id:20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tracking</t>
    </r>
    <r>
      <rPr>
        <sz val="10"/>
        <rFont val="Noto Sans CJK SC"/>
        <family val="2"/>
      </rPr>
      <t xml:space="preserve">已生成</t>
    </r>
  </si>
  <si>
    <r>
      <rPr>
        <sz val="10"/>
        <rFont val="Noto Sans CJK SC"/>
        <family val="2"/>
      </rPr>
      <t xml:space="preserve">通过网页下单验证，下单成功（见 </t>
    </r>
    <r>
      <rPr>
        <sz val="10"/>
        <rFont val="Arial"/>
        <family val="0"/>
        <charset val="1"/>
      </rPr>
      <t xml:space="preserve">TC50</t>
    </r>
    <r>
      <rPr>
        <sz val="10"/>
        <rFont val="Noto Sans CJK SC"/>
        <family val="2"/>
      </rPr>
      <t xml:space="preserve">）</t>
    </r>
  </si>
  <si>
    <t xml:space="preserve">TC18</t>
  </si>
  <si>
    <t xml:space="preserve">创建订单缺少必填字段</t>
  </si>
  <si>
    <t xml:space="preserve">只传user_id和total_price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</si>
  <si>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，提示缺少必填字段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</si>
  <si>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Missing required fields</t>
    </r>
  </si>
  <si>
    <t xml:space="preserve">TC19</t>
  </si>
  <si>
    <t xml:space="preserve">搜索空关键词</t>
  </si>
  <si>
    <r>
      <rPr>
        <sz val="10"/>
        <rFont val="Arial"/>
        <family val="0"/>
        <charset val="1"/>
      </rPr>
      <t xml:space="preserve">products.php?search=</t>
    </r>
    <r>
      <rPr>
        <sz val="10"/>
        <rFont val="Noto Sans CJK SC"/>
        <family val="2"/>
      </rPr>
      <t xml:space="preserve">空</t>
    </r>
  </si>
  <si>
    <t xml:space="preserve">返回空数组或提示请输入关键词</t>
  </si>
  <si>
    <t xml:space="preserve">返回全部8条商品</t>
  </si>
  <si>
    <t xml:space="preserve">BUG-003</t>
  </si>
  <si>
    <t xml:space="preserve">TC20</t>
  </si>
  <si>
    <t xml:space="preserve">按不存在分类xyz123筛选</t>
  </si>
  <si>
    <t xml:space="preserve">products.php?category=xyz123</t>
  </si>
  <si>
    <t xml:space="preserve">TC21</t>
  </si>
  <si>
    <t xml:space="preserve">添加商品到愿望清单</t>
  </si>
  <si>
    <t xml:space="preserve">wishlist.php?action=add</t>
  </si>
  <si>
    <t xml:space="preserve">user_id:1, product_id:1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</si>
  <si>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Added to wishlist</t>
    </r>
  </si>
  <si>
    <t xml:space="preserve">TC22</t>
  </si>
  <si>
    <t xml:space="preserve">重复添加同一商品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</si>
  <si>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（忽略重复）</t>
    </r>
  </si>
  <si>
    <t xml:space="preserve">TC23</t>
  </si>
  <si>
    <t xml:space="preserve">删除愿望清单商品</t>
  </si>
  <si>
    <t xml:space="preserve">wishlist.php?action=remove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</si>
  <si>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Removed from wishlist</t>
    </r>
  </si>
  <si>
    <t xml:space="preserve">TC24</t>
  </si>
  <si>
    <t xml:space="preserve">添加时缺少user_id</t>
  </si>
  <si>
    <t xml:space="preserve">只传product_id:1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</si>
  <si>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，提示缺少字段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</si>
  <si>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Missing fields</t>
    </r>
  </si>
  <si>
    <t xml:space="preserve">TC25</t>
  </si>
  <si>
    <t xml:space="preserve">注册时缺少必填字段</t>
  </si>
  <si>
    <r>
      <rPr>
        <sz val="10"/>
        <rFont val="Arial"/>
        <family val="0"/>
        <charset val="1"/>
      </rPr>
      <t xml:space="preserve">action:register</t>
    </r>
    <r>
      <rPr>
        <sz val="10"/>
        <rFont val="Noto Sans CJK SC"/>
        <family val="2"/>
      </rPr>
      <t xml:space="preserve">，只传</t>
    </r>
    <r>
      <rPr>
        <sz val="10"/>
        <rFont val="Arial"/>
        <family val="0"/>
        <charset val="1"/>
      </rPr>
      <t xml:space="preserve">name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</si>
  <si>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Please fill in all required fields</t>
    </r>
  </si>
  <si>
    <r>
      <rPr>
        <sz val="10"/>
        <rFont val="Arial"/>
        <family val="0"/>
        <charset val="1"/>
      </rPr>
      <t xml:space="preserve">BUG-004 </t>
    </r>
    <r>
      <rPr>
        <sz val="10"/>
        <rFont val="Noto Sans CJK SC"/>
        <family val="2"/>
      </rPr>
      <t xml:space="preserve">的触发条件是请求缺少 </t>
    </r>
    <r>
      <rPr>
        <sz val="10"/>
        <rFont val="Arial"/>
        <family val="0"/>
        <charset val="1"/>
      </rPr>
      <t xml:space="preserve">action </t>
    </r>
    <r>
      <rPr>
        <sz val="10"/>
        <rFont val="Noto Sans CJK SC"/>
        <family val="2"/>
      </rPr>
      <t xml:space="preserve">字段，见 </t>
    </r>
    <r>
      <rPr>
        <sz val="10"/>
        <rFont val="Arial"/>
        <family val="0"/>
        <charset val="1"/>
      </rPr>
      <t xml:space="preserve">TC34</t>
    </r>
  </si>
  <si>
    <t xml:space="preserve">TC26</t>
  </si>
  <si>
    <t xml:space="preserve">注册时密码为空</t>
  </si>
  <si>
    <r>
      <rPr>
        <sz val="10"/>
        <rFont val="Arial"/>
        <family val="0"/>
        <charset val="1"/>
      </rPr>
      <t xml:space="preserve">action:register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password:</t>
    </r>
    <r>
      <rPr>
        <sz val="10"/>
        <rFont val="Noto Sans CJK SC"/>
        <family val="2"/>
      </rPr>
      <t xml:space="preserve">空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</si>
  <si>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，提示密码必填</t>
    </r>
  </si>
  <si>
    <t xml:space="preserve">TC27</t>
  </si>
  <si>
    <t xml:space="preserve">登录时邮箱格式不正确</t>
  </si>
  <si>
    <r>
      <rPr>
        <sz val="10"/>
        <rFont val="Arial"/>
        <family val="0"/>
        <charset val="1"/>
      </rPr>
      <t xml:space="preserve">action:login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email:notanemail</t>
    </r>
  </si>
  <si>
    <t xml:space="preserve">提示邮箱格式错误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</si>
  <si>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Incorrect email or password</t>
    </r>
    <r>
      <rPr>
        <sz val="10"/>
        <rFont val="Noto Sans CJK SC"/>
        <family val="2"/>
      </rPr>
      <t xml:space="preserve">（提示不明确）</t>
    </r>
  </si>
  <si>
    <t xml:space="preserve">BUG-005</t>
  </si>
  <si>
    <t xml:space="preserve">❌ 仍失败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</si>
  <si>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，仍提示 </t>
    </r>
    <r>
      <rPr>
        <sz val="10"/>
        <rFont val="Arial"/>
        <family val="0"/>
        <charset val="1"/>
      </rPr>
      <t xml:space="preserve">Incorrect email or password</t>
    </r>
    <r>
      <rPr>
        <sz val="10"/>
        <rFont val="Noto Sans CJK SC"/>
        <family val="2"/>
      </rPr>
      <t xml:space="preserve">（未提示邮箱格式错误）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</si>
  <si>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Invalid email format</t>
    </r>
  </si>
  <si>
    <t xml:space="preserve">TC28</t>
  </si>
  <si>
    <t xml:space="preserve">注册时邮箱格式不正确</t>
  </si>
  <si>
    <r>
      <rPr>
        <sz val="10"/>
        <rFont val="Arial"/>
        <family val="0"/>
        <charset val="1"/>
      </rPr>
      <t xml:space="preserve">action:register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email:notanemail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</si>
  <si>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，提示邮箱格式错误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</si>
  <si>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</t>
    </r>
    <r>
      <rPr>
        <sz val="10"/>
        <rFont val="Arial"/>
        <family val="0"/>
        <charset val="1"/>
      </rPr>
      <t xml:space="preserve">Invalid email format</t>
    </r>
  </si>
  <si>
    <t xml:space="preserve">TC29</t>
  </si>
  <si>
    <t xml:space="preserve">按id=1查询单个商品</t>
  </si>
  <si>
    <t xml:space="preserve">products.php?id=1</t>
  </si>
  <si>
    <t xml:space="preserve">只返回id=1的商品</t>
  </si>
  <si>
    <t xml:space="preserve">BUG-006</t>
  </si>
  <si>
    <t xml:space="preserve">只返回 id=1 的商品（1 条）</t>
  </si>
  <si>
    <t xml:space="preserve">TC30</t>
  </si>
  <si>
    <t xml:space="preserve">查询不存在商品id=9999</t>
  </si>
  <si>
    <t xml:space="preserve">products.php?id=9999</t>
  </si>
  <si>
    <t xml:space="preserve">BUG-007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</si>
  <si>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Product not found</t>
    </r>
  </si>
  <si>
    <t xml:space="preserve">TC31</t>
  </si>
  <si>
    <t xml:space="preserve">创建订单items为空数组</t>
  </si>
  <si>
    <t xml:space="preserve">完整字段但items:[]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</si>
  <si>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，提示缺少商品</t>
    </r>
  </si>
  <si>
    <t xml:space="preserve">TC32</t>
  </si>
  <si>
    <t xml:space="preserve">创建订单user_id为负数</t>
  </si>
  <si>
    <r>
      <rPr>
        <sz val="10"/>
        <rFont val="Arial"/>
        <family val="0"/>
        <charset val="1"/>
      </rPr>
      <t xml:space="preserve">user_id:-1</t>
    </r>
    <r>
      <rPr>
        <sz val="10"/>
        <rFont val="Noto Sans CJK SC"/>
        <family val="2"/>
      </rPr>
      <t xml:space="preserve">，其他字段完整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</si>
  <si>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，提示参数错误</t>
    </r>
  </si>
  <si>
    <t xml:space="preserve">服务器直接返回PHP Fatal Error，暴露代码路径</t>
  </si>
  <si>
    <t xml:space="preserve">BUG-008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</si>
  <si>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Invalid user_id</t>
    </r>
    <r>
      <rPr>
        <sz val="10"/>
        <rFont val="Noto Sans CJK SC"/>
        <family val="2"/>
      </rPr>
      <t xml:space="preserve">（不再暴露 </t>
    </r>
    <r>
      <rPr>
        <sz val="10"/>
        <rFont val="Arial"/>
        <family val="0"/>
        <charset val="1"/>
      </rPr>
      <t xml:space="preserve">PHP </t>
    </r>
    <r>
      <rPr>
        <sz val="10"/>
        <rFont val="Noto Sans CJK SC"/>
        <family val="2"/>
      </rPr>
      <t xml:space="preserve">错误）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</si>
  <si>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Invalid user_id</t>
    </r>
  </si>
  <si>
    <t xml:space="preserve">TC33</t>
  </si>
  <si>
    <t xml:space="preserve">按价格排序</t>
  </si>
  <si>
    <t xml:space="preserve">products.php?sort=price</t>
  </si>
  <si>
    <t xml:space="preserve">商品按价格从低到高排序</t>
  </si>
  <si>
    <t xml:space="preserve">返回商品未排序，按id顺序</t>
  </si>
  <si>
    <t xml:space="preserve">BUG-009</t>
  </si>
  <si>
    <t xml:space="preserve">商品按价格从低到高排序（前 3 个价格：899、2499、3999）</t>
  </si>
  <si>
    <t xml:space="preserve">TC34</t>
  </si>
  <si>
    <t xml:space="preserve">请求缺少 action 字段</t>
  </si>
  <si>
    <r>
      <rPr>
        <sz val="10"/>
        <rFont val="Arial"/>
        <family val="0"/>
        <charset val="1"/>
      </rPr>
      <t xml:space="preserve">{"name":"test"}</t>
    </r>
    <r>
      <rPr>
        <sz val="10"/>
        <rFont val="Noto Sans CJK SC"/>
        <family val="2"/>
      </rPr>
      <t xml:space="preserve">（不含 </t>
    </r>
    <r>
      <rPr>
        <sz val="10"/>
        <rFont val="Arial"/>
        <family val="0"/>
        <charset val="1"/>
      </rPr>
      <t xml:space="preserve">action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</si>
  <si>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，返回明确的缺少参数提示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</si>
  <si>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，提示“</t>
    </r>
    <r>
      <rPr>
        <sz val="10"/>
        <rFont val="Arial"/>
        <family val="0"/>
        <charset val="1"/>
      </rPr>
      <t xml:space="preserve">Unknown action: ”</t>
    </r>
    <r>
      <rPr>
        <sz val="10"/>
        <rFont val="Noto Sans CJK SC"/>
        <family val="2"/>
      </rPr>
      <t xml:space="preserve">（提示不明确）</t>
    </r>
  </si>
  <si>
    <t xml:space="preserve">BUG-004</t>
  </si>
  <si>
    <t xml:space="preserve">—</t>
  </si>
  <si>
    <t xml:space="preserve">补测用例（2026-10-18 执行）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</si>
  <si>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Missing action parameter</t>
    </r>
  </si>
  <si>
    <t xml:space="preserve">TC35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</si>
  <si>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注入：登录邮箱填恒真条件</t>
    </r>
  </si>
  <si>
    <t xml:space="preserve">action:login, email:' OR '1'='1, password:x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</si>
  <si>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，不能登录，不报数据库错误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</si>
  <si>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Incorrect email or password</t>
    </r>
  </si>
  <si>
    <t xml:space="preserve">TC36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</si>
  <si>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注入：登录邮箱填注释截断</t>
    </r>
  </si>
  <si>
    <t xml:space="preserve">action:login, email:admin' -- , password:x</t>
  </si>
  <si>
    <t xml:space="preserve">TC37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</si>
  <si>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注入：搜索关键词填恒真条件</t>
    </r>
  </si>
  <si>
    <t xml:space="preserve">products.php?search=' OR 1=1 -- </t>
  </si>
  <si>
    <t xml:space="preserve">返回空数组，不返回全部商品，不报数据库错误</t>
  </si>
  <si>
    <t xml:space="preserve">TC38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</si>
  <si>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注入：分类参数填恒真条件</t>
    </r>
  </si>
  <si>
    <t xml:space="preserve">products.php?category=' OR '1'='1</t>
  </si>
  <si>
    <t xml:space="preserve">返回空数组，不报数据库错误</t>
  </si>
  <si>
    <t xml:space="preserve">TC39</t>
  </si>
  <si>
    <t xml:space="preserve">未登录获取全部订单</t>
  </si>
  <si>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（不带任何登录信息）</t>
    </r>
  </si>
  <si>
    <t xml:space="preserve">拒绝访问或要求登录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</si>
  <si>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，返回全部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条订单，含他人的收货人姓名、电话、地址</t>
    </r>
  </si>
  <si>
    <t xml:space="preserve">BUG-010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</si>
  <si>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Please login first</t>
    </r>
  </si>
  <si>
    <t xml:space="preserve">TC40</t>
  </si>
  <si>
    <t xml:space="preserve">未登录查看他人订单（id=17，属于 user_id=15）</t>
  </si>
  <si>
    <t xml:space="preserve">orders.php?id=17</t>
  </si>
  <si>
    <t xml:space="preserve">拒绝访问</t>
  </si>
  <si>
    <r>
      <rPr>
        <sz val="10"/>
        <rFont val="Arial"/>
        <family val="0"/>
        <charset val="1"/>
      </rPr>
      <t xml:space="preserve">success:true</t>
    </r>
    <r>
      <rPr>
        <sz val="10"/>
        <rFont val="Noto Sans CJK SC"/>
        <family val="2"/>
      </rPr>
      <t xml:space="preserve">，返回 </t>
    </r>
    <r>
      <rPr>
        <sz val="10"/>
        <rFont val="Arial"/>
        <family val="0"/>
        <charset val="1"/>
      </rPr>
      <t xml:space="preserve">user_id=15 </t>
    </r>
    <r>
      <rPr>
        <sz val="10"/>
        <rFont val="Noto Sans CJK SC"/>
        <family val="2"/>
      </rPr>
      <t xml:space="preserve">的订单详情</t>
    </r>
  </si>
  <si>
    <t xml:space="preserve">BUG-011</t>
  </si>
  <si>
    <r>
      <rPr>
        <sz val="10"/>
        <rFont val="Noto Sans CJK SC"/>
        <family val="2"/>
      </rPr>
      <t xml:space="preserve">状态码 </t>
    </r>
    <r>
      <rPr>
        <sz val="10"/>
        <rFont val="Arial"/>
        <family val="0"/>
        <charset val="1"/>
      </rPr>
      <t xml:space="preserve">401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Please login first</t>
    </r>
    <r>
      <rPr>
        <sz val="10"/>
        <rFont val="Noto Sans CJK SC"/>
        <family val="2"/>
      </rPr>
      <t xml:space="preserve">（登录后查他人订单见 </t>
    </r>
    <r>
      <rPr>
        <sz val="10"/>
        <rFont val="Arial"/>
        <family val="0"/>
        <charset val="1"/>
      </rPr>
      <t xml:space="preserve">TC48</t>
    </r>
    <r>
      <rPr>
        <sz val="10"/>
        <rFont val="Noto Sans CJK SC"/>
        <family val="2"/>
      </rPr>
      <t xml:space="preserve">）</t>
    </r>
  </si>
  <si>
    <t xml:space="preserve">TC41</t>
  </si>
  <si>
    <t xml:space="preserve">注册时用户名为 300 个字符</t>
  </si>
  <si>
    <r>
      <rPr>
        <sz val="10"/>
        <rFont val="Arial"/>
        <family val="0"/>
        <charset val="1"/>
      </rPr>
      <t xml:space="preserve">action:register, name:300 </t>
    </r>
    <r>
      <rPr>
        <sz val="10"/>
        <rFont val="Noto Sans CJK SC"/>
        <family val="2"/>
      </rPr>
      <t xml:space="preserve">个字符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其余字段正常</t>
    </r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</si>
  <si>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，提示用户名过长（</t>
    </r>
    <r>
      <rPr>
        <sz val="10"/>
        <rFont val="Arial"/>
        <family val="0"/>
        <charset val="1"/>
      </rPr>
      <t xml:space="preserve">JSON </t>
    </r>
    <r>
      <rPr>
        <sz val="10"/>
        <rFont val="Noto Sans CJK SC"/>
        <family val="2"/>
      </rPr>
      <t xml:space="preserve">格式）</t>
    </r>
  </si>
  <si>
    <t xml:space="preserve">返回 PHP Fatal Error（Data too long for column 'name'），暴露文件路径和行号</t>
  </si>
  <si>
    <t xml:space="preserve">BUG-012</t>
  </si>
  <si>
    <r>
      <rPr>
        <sz val="10"/>
        <rFont val="Arial"/>
        <family val="0"/>
        <charset val="1"/>
      </rPr>
      <t xml:space="preserve">success:false</t>
    </r>
    <r>
      <rPr>
        <sz val="10"/>
        <rFont val="Noto Sans CJK SC"/>
        <family val="2"/>
      </rPr>
      <t xml:space="preserve">，提示 </t>
    </r>
    <r>
      <rPr>
        <sz val="10"/>
        <rFont val="Arial"/>
        <family val="0"/>
        <charset val="1"/>
      </rPr>
      <t xml:space="preserve">Name must be 100 characters or fewer</t>
    </r>
    <r>
      <rPr>
        <sz val="10"/>
        <rFont val="Noto Sans CJK SC"/>
        <family val="2"/>
      </rPr>
      <t xml:space="preserve">，不再暴露 </t>
    </r>
    <r>
      <rPr>
        <sz val="10"/>
        <rFont val="Arial"/>
        <family val="0"/>
        <charset val="1"/>
      </rPr>
      <t xml:space="preserve">PHP </t>
    </r>
    <r>
      <rPr>
        <sz val="10"/>
        <rFont val="Noto Sans CJK SC"/>
        <family val="2"/>
      </rPr>
      <t xml:space="preserve">错误</t>
    </r>
  </si>
  <si>
    <t xml:space="preserve">TC42</t>
  </si>
  <si>
    <t xml:space="preserve">前端页面</t>
  </si>
  <si>
    <t xml:space="preserve">前端 XSS：注册用户名填 &lt;img src=x onerror=alert(1)&gt;</t>
  </si>
  <si>
    <t xml:space="preserve">浏览器操作（注册后登录）</t>
  </si>
  <si>
    <t xml:space="preserve">name:&lt;img src=x onerror=alert(1)&gt;</t>
  </si>
  <si>
    <t xml:space="preserve">用户名原样显示为文字，不执行脚本</t>
  </si>
  <si>
    <t xml:space="preserve">页头用户名原样显示为文字，无弹窗（仅检查了页头）</t>
  </si>
  <si>
    <t xml:space="preserve">TC43</t>
  </si>
  <si>
    <t xml:space="preserve">数据库 users 表</t>
  </si>
  <si>
    <t xml:space="preserve">密码是否加密存储</t>
  </si>
  <si>
    <r>
      <rPr>
        <sz val="10"/>
        <rFont val="Arial"/>
        <family val="0"/>
        <charset val="1"/>
      </rPr>
      <t xml:space="preserve">phpMyAdmin </t>
    </r>
    <r>
      <rPr>
        <sz val="10"/>
        <rFont val="Noto Sans CJK SC"/>
        <family val="2"/>
      </rPr>
      <t xml:space="preserve">查看 </t>
    </r>
    <r>
      <rPr>
        <sz val="10"/>
        <rFont val="Arial"/>
        <family val="0"/>
        <charset val="1"/>
      </rPr>
      <t xml:space="preserve">users </t>
    </r>
    <r>
      <rPr>
        <sz val="10"/>
        <rFont val="Noto Sans CJK SC"/>
        <family val="2"/>
      </rPr>
      <t xml:space="preserve">表</t>
    </r>
  </si>
  <si>
    <r>
      <rPr>
        <sz val="10"/>
        <rFont val="Arial"/>
        <family val="0"/>
        <charset val="1"/>
      </rPr>
      <t xml:space="preserve">password </t>
    </r>
    <r>
      <rPr>
        <sz val="10"/>
        <rFont val="Noto Sans CJK SC"/>
        <family val="2"/>
      </rPr>
      <t xml:space="preserve">列存储哈希，不是明文</t>
    </r>
  </si>
  <si>
    <r>
      <rPr>
        <sz val="10"/>
        <rFont val="Arial"/>
        <family val="0"/>
        <charset val="1"/>
      </rPr>
      <t xml:space="preserve">password </t>
    </r>
    <r>
      <rPr>
        <sz val="10"/>
        <rFont val="Noto Sans CJK SC"/>
        <family val="2"/>
      </rPr>
      <t xml:space="preserve">列以 </t>
    </r>
    <r>
      <rPr>
        <sz val="10"/>
        <rFont val="Arial"/>
        <family val="0"/>
        <charset val="1"/>
      </rPr>
      <t xml:space="preserve">$2y$10$ </t>
    </r>
    <r>
      <rPr>
        <sz val="10"/>
        <rFont val="Noto Sans CJK SC"/>
        <family val="2"/>
      </rPr>
      <t xml:space="preserve">开头（</t>
    </r>
    <r>
      <rPr>
        <sz val="10"/>
        <rFont val="Arial"/>
        <family val="0"/>
        <charset val="1"/>
      </rPr>
      <t xml:space="preserve">bcrypt</t>
    </r>
    <r>
      <rPr>
        <sz val="10"/>
        <rFont val="Noto Sans CJK SC"/>
        <family val="2"/>
      </rPr>
      <t xml:space="preserve">）；密保答案同样为哈希</t>
    </r>
  </si>
  <si>
    <t xml:space="preserve">TC44</t>
  </si>
  <si>
    <t xml:space="preserve">未登录修改订单状态</t>
  </si>
  <si>
    <t xml:space="preserve">orders.php?action=update_status</t>
  </si>
  <si>
    <r>
      <rPr>
        <sz val="10"/>
        <rFont val="Arial"/>
        <family val="0"/>
        <charset val="1"/>
      </rPr>
      <t xml:space="preserve">order_id:1, status:Shipped</t>
    </r>
    <r>
      <rPr>
        <sz val="10"/>
        <rFont val="Noto Sans CJK SC"/>
        <family val="2"/>
      </rPr>
      <t xml:space="preserve">（不带登录信息）</t>
    </r>
  </si>
  <si>
    <t xml:space="preserve">拒绝，提示仅管理员可操作</t>
  </si>
  <si>
    <t xml:space="preserve">状态码 403，提示 Admin only</t>
  </si>
  <si>
    <r>
      <rPr>
        <sz val="10"/>
        <rFont val="Noto Sans CJK SC"/>
        <family val="2"/>
      </rPr>
      <t xml:space="preserve">修复后新增（</t>
    </r>
    <r>
      <rPr>
        <sz val="10"/>
        <rFont val="Arial"/>
        <family val="0"/>
        <charset val="1"/>
      </rPr>
      <t xml:space="preserve">2026-10-18 </t>
    </r>
    <r>
      <rPr>
        <sz val="10"/>
        <rFont val="Noto Sans CJK SC"/>
        <family val="2"/>
      </rPr>
      <t xml:space="preserve">执行）</t>
    </r>
  </si>
  <si>
    <t xml:space="preserve">TC45</t>
  </si>
  <si>
    <t xml:space="preserve">普通用户修改订单状态</t>
  </si>
  <si>
    <r>
      <rPr>
        <sz val="10"/>
        <rFont val="Noto Sans CJK SC"/>
        <family val="2"/>
      </rPr>
      <t xml:space="preserve">以普通用户登录后，</t>
    </r>
    <r>
      <rPr>
        <sz val="10"/>
        <rFont val="Arial"/>
        <family val="0"/>
        <charset val="1"/>
      </rPr>
      <t xml:space="preserve">order_id:1, status:Shipped</t>
    </r>
  </si>
  <si>
    <t xml:space="preserve">success:false，提示 Admin only</t>
  </si>
  <si>
    <t xml:space="preserve">TC46</t>
  </si>
  <si>
    <t xml:space="preserve">管理员修改订单状态</t>
  </si>
  <si>
    <r>
      <rPr>
        <sz val="10"/>
        <rFont val="Noto Sans CJK SC"/>
        <family val="2"/>
      </rPr>
      <t xml:space="preserve">以管理员登录后，</t>
    </r>
    <r>
      <rPr>
        <sz val="10"/>
        <rFont val="Arial"/>
        <family val="0"/>
        <charset val="1"/>
      </rPr>
      <t xml:space="preserve">order_id:20, status:Processing</t>
    </r>
  </si>
  <si>
    <t xml:space="preserve">success:true，状态更新成功</t>
  </si>
  <si>
    <t xml:space="preserve">success:true，提示 Order status updated!</t>
  </si>
  <si>
    <t xml:space="preserve">TC47</t>
  </si>
  <si>
    <t xml:space="preserve">普通用户查询订单列表</t>
  </si>
  <si>
    <r>
      <rPr>
        <sz val="10"/>
        <rFont val="Noto Sans CJK SC"/>
        <family val="2"/>
      </rPr>
      <t xml:space="preserve">以普通用户（</t>
    </r>
    <r>
      <rPr>
        <sz val="10"/>
        <rFont val="Arial"/>
        <family val="0"/>
        <charset val="1"/>
      </rPr>
      <t xml:space="preserve">id 17</t>
    </r>
    <r>
      <rPr>
        <sz val="10"/>
        <rFont val="Noto Sans CJK SC"/>
        <family val="2"/>
      </rPr>
      <t xml:space="preserve">）登录</t>
    </r>
  </si>
  <si>
    <t xml:space="preserve">只返回该用户自己的订单</t>
  </si>
  <si>
    <t xml:space="preserve">success:true，返回空数组（该用户当时没有订单），未返回他人订单</t>
  </si>
  <si>
    <t xml:space="preserve">TC48</t>
  </si>
  <si>
    <t xml:space="preserve">普通用户查询他人订单</t>
  </si>
  <si>
    <r>
      <rPr>
        <sz val="10"/>
        <rFont val="Noto Sans CJK SC"/>
        <family val="2"/>
      </rPr>
      <t xml:space="preserve">以普通用户（</t>
    </r>
    <r>
      <rPr>
        <sz val="10"/>
        <rFont val="Arial"/>
        <family val="0"/>
        <charset val="1"/>
      </rPr>
      <t xml:space="preserve">id 17</t>
    </r>
    <r>
      <rPr>
        <sz val="10"/>
        <rFont val="Noto Sans CJK SC"/>
        <family val="2"/>
      </rPr>
      <t xml:space="preserve">）登录；订单 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属于 </t>
    </r>
    <r>
      <rPr>
        <sz val="10"/>
        <rFont val="Arial"/>
        <family val="0"/>
        <charset val="1"/>
      </rPr>
      <t xml:space="preserve">user_id=15</t>
    </r>
  </si>
  <si>
    <t xml:space="preserve">不返回他人订单</t>
  </si>
  <si>
    <t xml:space="preserve">success:false，提示 Order not found</t>
  </si>
  <si>
    <t xml:space="preserve">TC49</t>
  </si>
  <si>
    <t xml:space="preserve">管理员查询全部订单</t>
  </si>
  <si>
    <t xml:space="preserve">以管理员登录</t>
  </si>
  <si>
    <t xml:space="preserve">返回全部订单</t>
  </si>
  <si>
    <t xml:space="preserve">success:true，返回全部 20 条订单</t>
  </si>
  <si>
    <t xml:space="preserve">TC50</t>
  </si>
  <si>
    <t xml:space="preserve">网页端：普通用户下单并查看订单</t>
  </si>
  <si>
    <t xml:space="preserve">浏览器操作</t>
  </si>
  <si>
    <t xml:space="preserve">普通用户登录，加入购物车，结算，下单</t>
  </si>
  <si>
    <t xml:space="preserve">下单成功，订单页只显示自己的订单</t>
  </si>
  <si>
    <t xml:space="preserve">下单成功，订单页只显示自己的 1 条订单</t>
  </si>
  <si>
    <t xml:space="preserve">TC51</t>
  </si>
  <si>
    <t xml:space="preserve">网页端：管理员后台订单列表</t>
  </si>
  <si>
    <r>
      <rPr>
        <sz val="10"/>
        <rFont val="Noto Sans CJK SC"/>
        <family val="2"/>
      </rPr>
      <t xml:space="preserve">管理员登录，进入 </t>
    </r>
    <r>
      <rPr>
        <sz val="10"/>
        <rFont val="Arial"/>
        <family val="0"/>
        <charset val="1"/>
      </rPr>
      <t xml:space="preserve">Admin Dashboard</t>
    </r>
  </si>
  <si>
    <t xml:space="preserve">订单列表正常显示，包含新订单</t>
  </si>
  <si>
    <t xml:space="preserve">订单列表正常显示，包含 TC50 新下的订单</t>
  </si>
  <si>
    <t xml:space="preserve">问题描述</t>
  </si>
  <si>
    <t xml:space="preserve">严重程度</t>
  </si>
  <si>
    <t xml:space="preserve">优先级（建议）</t>
  </si>
  <si>
    <t xml:space="preserve">复现步骤</t>
  </si>
  <si>
    <t xml:space="preserve">状态</t>
  </si>
  <si>
    <t xml:space="preserve">回归结果</t>
  </si>
  <si>
    <t xml:space="preserve">回归日期</t>
  </si>
  <si>
    <t xml:space="preserve">按id筛选无效，返回全部订单</t>
  </si>
  <si>
    <t xml:space="preserve">只返回指定id的订单</t>
  </si>
  <si>
    <t xml:space="preserve">中</t>
  </si>
  <si>
    <r>
      <rPr>
        <sz val="10"/>
        <rFont val="Arial"/>
        <family val="0"/>
        <charset val="1"/>
      </rPr>
      <t xml:space="preserve">1. GET orders.php?id=1
2. </t>
    </r>
    <r>
      <rPr>
        <sz val="10"/>
        <rFont val="Noto Sans CJK SC"/>
        <family val="2"/>
      </rPr>
      <t xml:space="preserve">查看返回的订单数量</t>
    </r>
  </si>
  <si>
    <t xml:space="preserve">已修复</t>
  </si>
  <si>
    <t xml:space="preserve">通过</t>
  </si>
  <si>
    <t xml:space="preserve">复测通过（TC07）</t>
  </si>
  <si>
    <t xml:space="preserve">不存在的id仍返回全部订单</t>
  </si>
  <si>
    <t xml:space="preserve">返回空数据</t>
  </si>
  <si>
    <r>
      <rPr>
        <sz val="10"/>
        <rFont val="Arial"/>
        <family val="0"/>
        <charset val="1"/>
      </rPr>
      <t xml:space="preserve">1. GET orders.php?id=9999
2. </t>
    </r>
    <r>
      <rPr>
        <sz val="10"/>
        <rFont val="Noto Sans CJK SC"/>
        <family val="2"/>
      </rPr>
      <t xml:space="preserve">查看返回内容</t>
    </r>
  </si>
  <si>
    <t xml:space="preserve">复测通过（TC08）</t>
  </si>
  <si>
    <t xml:space="preserve">空关键词搜索返回全部商品</t>
  </si>
  <si>
    <t xml:space="preserve">低</t>
  </si>
  <si>
    <r>
      <rPr>
        <sz val="10"/>
        <rFont val="Arial"/>
        <family val="0"/>
        <charset val="1"/>
      </rPr>
      <t xml:space="preserve">1. GET products.php?search=</t>
    </r>
    <r>
      <rPr>
        <sz val="10"/>
        <rFont val="Noto Sans CJK SC"/>
        <family val="2"/>
      </rPr>
      <t xml:space="preserve">（关键词为空）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查看返回的商品数量</t>
    </r>
  </si>
  <si>
    <t xml:space="preserve">复测通过（TC19）</t>
  </si>
  <si>
    <t xml:space="preserve">请求缺少 action 字段时，返回“Unknown action: ”，提示不明确</t>
  </si>
  <si>
    <t xml:space="preserve">返回明确的缺少字段提示</t>
  </si>
  <si>
    <t xml:space="preserve">返回Unknown action</t>
  </si>
  <si>
    <r>
      <rPr>
        <sz val="10"/>
        <rFont val="Arial"/>
        <family val="0"/>
        <charset val="1"/>
      </rPr>
      <t xml:space="preserve">1. POST users.php
2. Body </t>
    </r>
    <r>
      <rPr>
        <sz val="10"/>
        <rFont val="Noto Sans CJK SC"/>
        <family val="2"/>
      </rPr>
      <t xml:space="preserve">只传 </t>
    </r>
    <r>
      <rPr>
        <sz val="10"/>
        <rFont val="Arial"/>
        <family val="0"/>
        <charset val="1"/>
      </rPr>
      <t xml:space="preserve">{"name":"test"}</t>
    </r>
    <r>
      <rPr>
        <sz val="10"/>
        <rFont val="Noto Sans CJK SC"/>
        <family val="2"/>
      </rPr>
      <t xml:space="preserve">，不含 </t>
    </r>
    <r>
      <rPr>
        <sz val="10"/>
        <rFont val="Arial"/>
        <family val="0"/>
        <charset val="1"/>
      </rPr>
      <t xml:space="preserve">action
3. </t>
    </r>
    <r>
      <rPr>
        <sz val="10"/>
        <rFont val="Noto Sans CJK SC"/>
        <family val="2"/>
      </rPr>
      <t xml:space="preserve">查看返回的 </t>
    </r>
    <r>
      <rPr>
        <sz val="10"/>
        <rFont val="Arial"/>
        <family val="0"/>
        <charset val="1"/>
      </rPr>
      <t xml:space="preserve">message</t>
    </r>
  </si>
  <si>
    <t xml:space="preserve">修复：缺少 action 时返回 Missing action parameter，未知 action 返回 Invalid action。回归通过（TC34）。原描述为“注册缺字段”，复测发现触发条件是缺少 action 字段，描述已修订</t>
  </si>
  <si>
    <t xml:space="preserve">登录格式错误邮箱提示信息不明确</t>
  </si>
  <si>
    <t xml:space="preserve">提示邮箱格式不正确</t>
  </si>
  <si>
    <t xml:space="preserve">提示账号密码错误</t>
  </si>
  <si>
    <r>
      <rPr>
        <sz val="10"/>
        <rFont val="Arial"/>
        <family val="0"/>
        <charset val="1"/>
      </rPr>
      <t xml:space="preserve">1. POST users.php
2. Body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action=login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email=notanemail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password=123456
3. </t>
    </r>
    <r>
      <rPr>
        <sz val="10"/>
        <rFont val="Noto Sans CJK SC"/>
        <family val="2"/>
      </rPr>
      <t xml:space="preserve">查看返回的 </t>
    </r>
    <r>
      <rPr>
        <sz val="10"/>
        <rFont val="Arial"/>
        <family val="0"/>
        <charset val="1"/>
      </rPr>
      <t xml:space="preserve">message</t>
    </r>
  </si>
  <si>
    <t xml:space="preserve">修复：登录时先校验邮箱格式，返回 Invalid email format；不存在的账号仍统一提示，防用户枚举。回归通过（TC27、TC05）</t>
  </si>
  <si>
    <t xml:space="preserve">按id筛选无效，返回全部商品</t>
  </si>
  <si>
    <t xml:space="preserve">只返回指定id的商品</t>
  </si>
  <si>
    <r>
      <rPr>
        <sz val="10"/>
        <rFont val="Arial"/>
        <family val="0"/>
        <charset val="1"/>
      </rPr>
      <t xml:space="preserve">1. GET products.php?id=1
2. </t>
    </r>
    <r>
      <rPr>
        <sz val="10"/>
        <rFont val="Noto Sans CJK SC"/>
        <family val="2"/>
      </rPr>
      <t xml:space="preserve">查看返回的商品数量</t>
    </r>
  </si>
  <si>
    <t xml:space="preserve">复测通过（TC29）</t>
  </si>
  <si>
    <t xml:space="preserve">不存在的id返回全部商品</t>
  </si>
  <si>
    <r>
      <rPr>
        <sz val="10"/>
        <rFont val="Arial"/>
        <family val="0"/>
        <charset val="1"/>
      </rPr>
      <t xml:space="preserve">1. GET products.php?id=9999
2. </t>
    </r>
    <r>
      <rPr>
        <sz val="10"/>
        <rFont val="Noto Sans CJK SC"/>
        <family val="2"/>
      </rPr>
      <t xml:space="preserve">查看返回内容</t>
    </r>
  </si>
  <si>
    <t xml:space="preserve">复测通过（TC30）</t>
  </si>
  <si>
    <r>
      <rPr>
        <sz val="10"/>
        <rFont val="Arial"/>
        <family val="0"/>
        <charset val="1"/>
      </rPr>
      <t xml:space="preserve">user_id</t>
    </r>
    <r>
      <rPr>
        <sz val="10"/>
        <rFont val="Noto Sans CJK SC"/>
        <family val="2"/>
      </rPr>
      <t xml:space="preserve">为负数时暴露</t>
    </r>
    <r>
      <rPr>
        <sz val="10"/>
        <rFont val="Arial"/>
        <family val="0"/>
        <charset val="1"/>
      </rPr>
      <t xml:space="preserve">PHP</t>
    </r>
    <r>
      <rPr>
        <sz val="10"/>
        <rFont val="Noto Sans CJK SC"/>
        <family val="2"/>
      </rPr>
      <t xml:space="preserve">错误信息</t>
    </r>
  </si>
  <si>
    <t xml:space="preserve">返回JSON格式错误提示</t>
  </si>
  <si>
    <t xml:space="preserve">直接返回PHP Fatal Error和代码路径</t>
  </si>
  <si>
    <t xml:space="preserve">高</t>
  </si>
  <si>
    <r>
      <rPr>
        <sz val="10"/>
        <rFont val="Arial"/>
        <family val="0"/>
        <charset val="1"/>
      </rPr>
      <t xml:space="preserve">1. POST orders.php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Body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user_id </t>
    </r>
    <r>
      <rPr>
        <sz val="10"/>
        <rFont val="Noto Sans CJK SC"/>
        <family val="2"/>
      </rPr>
      <t xml:space="preserve">设为 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，其余字段正常
</t>
    </r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查看返回内容</t>
    </r>
  </si>
  <si>
    <t xml:space="preserve">复测返回 JSON：Invalid user_id（TC32）</t>
  </si>
  <si>
    <t xml:space="preserve">排序参数无效，商品未按价格排序</t>
  </si>
  <si>
    <t xml:space="preserve">商品按价格从低到高排列</t>
  </si>
  <si>
    <t xml:space="preserve">按id顺序返回，未排序</t>
  </si>
  <si>
    <r>
      <rPr>
        <sz val="10"/>
        <rFont val="Arial"/>
        <family val="0"/>
        <charset val="1"/>
      </rPr>
      <t xml:space="preserve">1. GET products.php?sort=price
2. </t>
    </r>
    <r>
      <rPr>
        <sz val="10"/>
        <rFont val="Noto Sans CJK SC"/>
        <family val="2"/>
      </rPr>
      <t xml:space="preserve">查看商品价格顺序</t>
    </r>
  </si>
  <si>
    <t xml:space="preserve">复测按价格从低到高排序（TC33）</t>
  </si>
  <si>
    <t xml:space="preserve">未登录即可获取全部订单，包含他人的收货人姓名、电话、地址</t>
  </si>
  <si>
    <t xml:space="preserve">未登录时拒绝访问</t>
  </si>
  <si>
    <t xml:space="preserve">返回全部 20 条订单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</si>
  <si>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不带任何登录信息
</t>
    </r>
    <r>
      <rPr>
        <sz val="10"/>
        <rFont val="Arial"/>
        <family val="0"/>
        <charset val="1"/>
      </rPr>
      <t xml:space="preserve">2. GET orders.php
3. </t>
    </r>
    <r>
      <rPr>
        <sz val="10"/>
        <rFont val="Noto Sans CJK SC"/>
        <family val="2"/>
      </rPr>
      <t xml:space="preserve">查看返回内容</t>
    </r>
  </si>
  <si>
    <t xml:space="preserve">修复：登录时在服务端用 session 记录用户；订单接口未登录返回 401，普通用户只能查看自己的订单，管理员查看全部。回归通过（TC39、TC47、TC49）</t>
  </si>
  <si>
    <t xml:space="preserve">未登录用 id 参数即可查看他人订单（越权）</t>
  </si>
  <si>
    <t xml:space="preserve">未登录或非本人订单时拒绝访问</t>
  </si>
  <si>
    <t xml:space="preserve">返回 user_id=15 的订单详情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</si>
  <si>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不带任何登录信息
</t>
    </r>
    <r>
      <rPr>
        <sz val="10"/>
        <rFont val="Arial"/>
        <family val="0"/>
        <charset val="1"/>
      </rPr>
      <t xml:space="preserve">2. GET orders.php?id=17</t>
    </r>
    <r>
      <rPr>
        <sz val="10"/>
        <rFont val="Noto Sans CJK SC"/>
        <family val="2"/>
      </rPr>
      <t xml:space="preserve">（该订单属于 </t>
    </r>
    <r>
      <rPr>
        <sz val="10"/>
        <rFont val="Arial"/>
        <family val="0"/>
        <charset val="1"/>
      </rPr>
      <t xml:space="preserve">user_id=15</t>
    </r>
    <r>
      <rPr>
        <sz val="10"/>
        <rFont val="Noto Sans CJK SC"/>
        <family val="2"/>
      </rPr>
      <t xml:space="preserve">）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查看返回内容</t>
    </r>
  </si>
  <si>
    <t xml:space="preserve">修复：同 BUG-010，普通用户按 id 查询时增加 user_id 条件。回归通过（TC40、TC48）</t>
  </si>
  <si>
    <t xml:space="preserve">注册时用户名过长，触发 PHP Fatal Error，暴露文件路径和行号</t>
  </si>
  <si>
    <t xml:space="preserve">返回 JSON 格式的错误提示（如用户名过长）</t>
  </si>
  <si>
    <t xml:space="preserve">返回 PHP Fatal Error：Data too long for column 'name'</t>
  </si>
  <si>
    <r>
      <rPr>
        <sz val="10"/>
        <rFont val="Arial"/>
        <family val="0"/>
        <charset val="1"/>
      </rPr>
      <t xml:space="preserve">1. POST users.php
2. Body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action=register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name </t>
    </r>
    <r>
      <rPr>
        <sz val="10"/>
        <rFont val="Noto Sans CJK SC"/>
        <family val="2"/>
      </rPr>
      <t xml:space="preserve">为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个字符，其余字段正常
</t>
    </r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查看返回内容</t>
    </r>
  </si>
  <si>
    <t xml:space="preserve">修复：注册时校验字段长度；数据库错误统一捕获，只返回 JSON 提示，不再显示 PHP 报错。回归通过（TC41）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</si>
</sst>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4"/>
    <col collapsed="false" customWidth="true" hidden="false" outlineLevel="0" max="3" min="3" style="0" width="48"/>
  </cols>
  <sheetData>
    <row r="1" customFormat="false" ht="27.75" hidden="false" customHeight="tru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33.75" hidden="false" customHeight="true" outlineLevel="0" collapsed="false">
      <c r="A4" s="3" t="s">
        <v>4</v>
      </c>
      <c r="B4" s="4" t="s">
        <v>5</v>
      </c>
      <c r="C4" s="5" t="s">
        <v>6</v>
      </c>
    </row>
    <row r="5" customFormat="false" ht="33.75" hidden="false" customHeight="true" outlineLevel="0" collapsed="false">
      <c r="A5" s="3" t="s">
        <v>7</v>
      </c>
      <c r="B5" s="4" t="s">
        <v>8</v>
      </c>
      <c r="C5" s="5" t="s">
        <v>9</v>
      </c>
    </row>
    <row r="6" customFormat="false" ht="24" hidden="false" customHeight="true" outlineLevel="0" collapsed="false">
      <c r="A6" s="3" t="s">
        <v>10</v>
      </c>
      <c r="B6" s="4" t="s">
        <v>11</v>
      </c>
      <c r="C6" s="5" t="s">
        <v>12</v>
      </c>
    </row>
    <row r="7" customFormat="false" ht="24" hidden="false" customHeight="true" outlineLevel="0" collapsed="false">
      <c r="A7" s="3" t="s">
        <v>13</v>
      </c>
      <c r="B7" s="4" t="s">
        <v>14</v>
      </c>
      <c r="C7" s="5" t="s">
        <v>15</v>
      </c>
    </row>
    <row r="8" customFormat="false" ht="24" hidden="false" customHeight="true" outlineLevel="0" collapsed="false">
      <c r="A8" s="3" t="s">
        <v>16</v>
      </c>
      <c r="B8" s="4" t="s">
        <v>17</v>
      </c>
      <c r="C8" s="4"/>
    </row>
    <row r="9" customFormat="false" ht="33.75" hidden="false" customHeight="true" outlineLevel="0" collapsed="false">
      <c r="A9" s="3" t="s">
        <v>18</v>
      </c>
      <c r="B9" s="5" t="s">
        <v>19</v>
      </c>
      <c r="C9" s="4" t="s">
        <v>20</v>
      </c>
    </row>
    <row r="10" customFormat="false" ht="33.75" hidden="false" customHeight="true" outlineLevel="0" collapsed="false">
      <c r="A10" s="3" t="s">
        <v>21</v>
      </c>
      <c r="B10" s="4" t="s">
        <v>22</v>
      </c>
      <c r="C10" s="5" t="s">
        <v>23</v>
      </c>
    </row>
    <row r="11" customFormat="false" ht="33.75" hidden="false" customHeight="true" outlineLevel="0" collapsed="false">
      <c r="A11" s="3" t="s">
        <v>24</v>
      </c>
      <c r="B11" s="4" t="s">
        <v>22</v>
      </c>
      <c r="C11" s="5" t="s">
        <v>25</v>
      </c>
    </row>
    <row r="12" customFormat="false" ht="24" hidden="false" customHeight="true" outlineLevel="0" collapsed="false">
      <c r="A12" s="3" t="s">
        <v>26</v>
      </c>
      <c r="B12" s="4" t="s">
        <v>27</v>
      </c>
      <c r="C12" s="5" t="s">
        <v>28</v>
      </c>
    </row>
    <row r="14" customFormat="false" ht="17.15" hidden="false" customHeight="false" outlineLevel="0" collapsed="false">
      <c r="A14" s="2" t="s">
        <v>29</v>
      </c>
      <c r="B14" s="2" t="s">
        <v>30</v>
      </c>
      <c r="C14" s="2" t="s">
        <v>3</v>
      </c>
    </row>
    <row r="15" customFormat="false" ht="15" hidden="false" customHeight="false" outlineLevel="0" collapsed="false">
      <c r="A15" s="3" t="s">
        <v>31</v>
      </c>
      <c r="B15" s="6" t="n">
        <f aca="false">COUNTA(测试用例!A2:A200)</f>
        <v>51</v>
      </c>
      <c r="C15" s="5" t="s">
        <v>32</v>
      </c>
    </row>
    <row r="16" customFormat="false" ht="15" hidden="false" customHeight="false" outlineLevel="0" collapsed="false">
      <c r="A16" s="3" t="s">
        <v>33</v>
      </c>
      <c r="B16" s="6" t="n">
        <f aca="false">COUNTIF(测试用例!J2:J200,"*通过")</f>
        <v>39</v>
      </c>
      <c r="C16" s="5" t="s">
        <v>34</v>
      </c>
    </row>
    <row r="17" customFormat="false" ht="15" hidden="false" customHeight="false" outlineLevel="0" collapsed="false">
      <c r="A17" s="3" t="s">
        <v>35</v>
      </c>
      <c r="B17" s="6" t="n">
        <f aca="false">COUNTIF(测试用例!J2:J200,"*失败")</f>
        <v>12</v>
      </c>
      <c r="C17" s="4"/>
    </row>
    <row r="18" customFormat="false" ht="15" hidden="false" customHeight="false" outlineLevel="0" collapsed="false">
      <c r="A18" s="3" t="s">
        <v>36</v>
      </c>
      <c r="B18" s="7" t="n">
        <f aca="false">IF(B15=0,0,B16/B15)</f>
        <v>0.764705882352941</v>
      </c>
      <c r="C18" s="4"/>
    </row>
    <row r="19" customFormat="false" ht="15" hidden="false" customHeight="false" outlineLevel="0" collapsed="false">
      <c r="A19" s="3" t="s">
        <v>37</v>
      </c>
      <c r="B19" s="6" t="n">
        <f aca="false">COUNTA(Bug汇总!A2:A200)</f>
        <v>12</v>
      </c>
      <c r="C19" s="4"/>
    </row>
    <row r="20" customFormat="false" ht="15" hidden="false" customHeight="false" outlineLevel="0" collapsed="false">
      <c r="A20" s="3" t="s">
        <v>38</v>
      </c>
      <c r="B20" s="6" t="n">
        <f aca="false">COUNTIF(Bug汇总!G2:G200,"高")</f>
        <v>4</v>
      </c>
      <c r="C20" s="4"/>
    </row>
    <row r="21" customFormat="false" ht="15" hidden="false" customHeight="false" outlineLevel="0" collapsed="false">
      <c r="A21" s="3" t="s">
        <v>39</v>
      </c>
      <c r="B21" s="6" t="n">
        <f aca="false">COUNTIF(Bug汇总!G2:G200,"中")</f>
        <v>4</v>
      </c>
      <c r="C21" s="4"/>
    </row>
    <row r="22" customFormat="false" ht="15" hidden="false" customHeight="false" outlineLevel="0" collapsed="false">
      <c r="A22" s="3" t="s">
        <v>40</v>
      </c>
      <c r="B22" s="6" t="n">
        <f aca="false">COUNTIF(Bug汇总!G2:G200,"低")</f>
        <v>4</v>
      </c>
      <c r="C22" s="4"/>
    </row>
    <row r="23" customFormat="false" ht="15" hidden="false" customHeight="false" outlineLevel="0" collapsed="false">
      <c r="A23" s="3" t="s">
        <v>41</v>
      </c>
      <c r="B23" s="6" t="n">
        <f aca="false">COUNTIF(Bug汇总!J2:J200,"已修复")</f>
        <v>12</v>
      </c>
      <c r="C23" s="4"/>
    </row>
    <row r="24" customFormat="false" ht="15" hidden="false" customHeight="false" outlineLevel="0" collapsed="false">
      <c r="A24" s="3" t="s">
        <v>42</v>
      </c>
      <c r="B24" s="6" t="n">
        <f aca="false">COUNTIF(Bug汇总!J2:J200,"未修复")</f>
        <v>0</v>
      </c>
      <c r="C24" s="4"/>
    </row>
    <row r="25" customFormat="false" ht="15" hidden="false" customHeight="false" outlineLevel="0" collapsed="false">
      <c r="A25" s="3" t="s">
        <v>43</v>
      </c>
      <c r="B25" s="6" t="n">
        <f aca="false">COUNTIF(Bug汇总!J2:J200,"新建")</f>
        <v>0</v>
      </c>
      <c r="C25" s="4"/>
    </row>
    <row r="26" customFormat="false" ht="15" hidden="false" customHeight="false" outlineLevel="0" collapsed="false">
      <c r="A26" s="3" t="s">
        <v>44</v>
      </c>
      <c r="B26" s="7" t="n">
        <f aca="false">IF(B19=0,0,B23/B19)</f>
        <v>1</v>
      </c>
      <c r="C26" s="5" t="s">
        <v>45</v>
      </c>
    </row>
    <row r="27" customFormat="false" ht="15" hidden="false" customHeight="false" outlineLevel="0" collapsed="false">
      <c r="A27" s="3" t="s">
        <v>46</v>
      </c>
      <c r="B27" s="6" t="n">
        <f aca="false">COUNTIF(测试用例!L2:L200,"✅ 通过")</f>
        <v>7</v>
      </c>
      <c r="C27" s="5" t="s">
        <v>47</v>
      </c>
    </row>
    <row r="28" customFormat="false" ht="15" hidden="false" customHeight="false" outlineLevel="0" collapsed="false">
      <c r="A28" s="3" t="s">
        <v>48</v>
      </c>
      <c r="B28" s="6" t="n">
        <f aca="false">COUNTIF(测试用例!L2:L200,"❌ 仍失败")</f>
        <v>1</v>
      </c>
      <c r="C28" s="5" t="s">
        <v>49</v>
      </c>
    </row>
    <row r="29" customFormat="false" ht="15" hidden="false" customHeight="false" outlineLevel="0" collapsed="false">
      <c r="A29" s="3" t="s">
        <v>50</v>
      </c>
      <c r="B29" s="6" t="n">
        <f aca="false">COUNTIF(测试用例!O2:O200,"✅ 通过")</f>
        <v>12</v>
      </c>
      <c r="C29" s="5" t="s">
        <v>51</v>
      </c>
    </row>
    <row r="30" customFormat="false" ht="15" hidden="false" customHeight="false" outlineLevel="0" collapsed="false">
      <c r="A30" s="3" t="s">
        <v>52</v>
      </c>
      <c r="B30" s="6" t="n">
        <f aca="false">COUNTIF(测试用例!O2:O200,"❌*")</f>
        <v>0</v>
      </c>
      <c r="C30" s="4"/>
    </row>
    <row r="32" customFormat="false" ht="17.15" hidden="false" customHeight="true" outlineLevel="0" collapsed="false">
      <c r="A32" s="2" t="s">
        <v>53</v>
      </c>
      <c r="B32" s="2" t="s">
        <v>2</v>
      </c>
      <c r="C32" s="2"/>
    </row>
    <row r="33" customFormat="false" ht="51.75" hidden="false" customHeight="true" outlineLevel="0" collapsed="false">
      <c r="A33" s="3" t="s">
        <v>54</v>
      </c>
      <c r="B33" s="5" t="s">
        <v>55</v>
      </c>
      <c r="C33" s="5"/>
    </row>
    <row r="34" customFormat="false" ht="51.75" hidden="false" customHeight="true" outlineLevel="0" collapsed="false">
      <c r="A34" s="3" t="s">
        <v>56</v>
      </c>
      <c r="B34" s="5" t="s">
        <v>57</v>
      </c>
      <c r="C34" s="5"/>
    </row>
    <row r="35" customFormat="false" ht="51.75" hidden="false" customHeight="true" outlineLevel="0" collapsed="false">
      <c r="A35" s="3" t="s">
        <v>58</v>
      </c>
      <c r="B35" s="5" t="s">
        <v>59</v>
      </c>
      <c r="C35" s="5"/>
    </row>
    <row r="37" customFormat="false" ht="17.15" hidden="false" customHeight="true" outlineLevel="0" collapsed="false">
      <c r="A37" s="2" t="s">
        <v>60</v>
      </c>
      <c r="B37" s="2" t="s">
        <v>2</v>
      </c>
      <c r="C37" s="2"/>
    </row>
    <row r="38" customFormat="false" ht="33.75" hidden="false" customHeight="true" outlineLevel="0" collapsed="false">
      <c r="A38" s="8" t="s">
        <v>61</v>
      </c>
      <c r="B38" s="4" t="s">
        <v>62</v>
      </c>
      <c r="C38" s="4"/>
    </row>
    <row r="39" customFormat="false" ht="33.75" hidden="false" customHeight="true" outlineLevel="0" collapsed="false">
      <c r="A39" s="8" t="s">
        <v>63</v>
      </c>
      <c r="B39" s="5" t="s">
        <v>64</v>
      </c>
      <c r="C39" s="5"/>
    </row>
    <row r="40" customFormat="false" ht="33.75" hidden="false" customHeight="true" outlineLevel="0" collapsed="false">
      <c r="A40" s="8" t="s">
        <v>65</v>
      </c>
      <c r="B40" s="5" t="s">
        <v>66</v>
      </c>
      <c r="C40" s="5"/>
    </row>
    <row r="41" customFormat="false" ht="33.75" hidden="false" customHeight="true" outlineLevel="0" collapsed="false">
      <c r="A41" s="8" t="s">
        <v>67</v>
      </c>
      <c r="B41" s="5" t="s">
        <v>68</v>
      </c>
      <c r="C41" s="5"/>
    </row>
    <row r="42" customFormat="false" ht="33.75" hidden="false" customHeight="true" outlineLevel="0" collapsed="false">
      <c r="A42" s="8" t="s">
        <v>69</v>
      </c>
      <c r="B42" s="5" t="s">
        <v>70</v>
      </c>
      <c r="C42" s="5"/>
    </row>
    <row r="44" customFormat="false" ht="17.15" hidden="false" customHeight="true" outlineLevel="0" collapsed="false">
      <c r="A44" s="2" t="s">
        <v>71</v>
      </c>
      <c r="B44" s="2" t="s">
        <v>2</v>
      </c>
      <c r="C44" s="2"/>
    </row>
    <row r="45" customFormat="false" ht="31.5" hidden="false" customHeight="true" outlineLevel="0" collapsed="false">
      <c r="A45" s="8" t="s">
        <v>61</v>
      </c>
      <c r="B45" s="5" t="s">
        <v>72</v>
      </c>
      <c r="C45" s="5"/>
    </row>
    <row r="46" customFormat="false" ht="31.5" hidden="false" customHeight="true" outlineLevel="0" collapsed="false">
      <c r="A46" s="8" t="s">
        <v>63</v>
      </c>
      <c r="B46" s="4" t="s">
        <v>73</v>
      </c>
      <c r="C46" s="4"/>
    </row>
    <row r="47" customFormat="false" ht="31.5" hidden="false" customHeight="true" outlineLevel="0" collapsed="false">
      <c r="A47" s="8" t="s">
        <v>65</v>
      </c>
      <c r="B47" s="4" t="s">
        <v>74</v>
      </c>
      <c r="C47" s="4"/>
    </row>
    <row r="48" customFormat="false" ht="31.5" hidden="false" customHeight="true" outlineLevel="0" collapsed="false">
      <c r="A48" s="8" t="s">
        <v>67</v>
      </c>
      <c r="B48" s="5" t="s">
        <v>75</v>
      </c>
      <c r="C48" s="5"/>
    </row>
    <row r="49" customFormat="false" ht="31.5" hidden="false" customHeight="true" outlineLevel="0" collapsed="false">
      <c r="A49" s="8" t="s">
        <v>69</v>
      </c>
      <c r="B49" s="5" t="s">
        <v>76</v>
      </c>
      <c r="C49" s="5"/>
    </row>
    <row r="50" customFormat="false" ht="31.5" hidden="false" customHeight="true" outlineLevel="0" collapsed="false">
      <c r="A50" s="8" t="s">
        <v>77</v>
      </c>
      <c r="B50" s="4" t="s">
        <v>78</v>
      </c>
      <c r="C50" s="4"/>
    </row>
  </sheetData>
  <mergeCells count="17">
    <mergeCell ref="B32:C32"/>
    <mergeCell ref="B33:C33"/>
    <mergeCell ref="B34:C34"/>
    <mergeCell ref="B35:C35"/>
    <mergeCell ref="B37:C37"/>
    <mergeCell ref="B38:C38"/>
    <mergeCell ref="B39:C39"/>
    <mergeCell ref="B40:C40"/>
    <mergeCell ref="B41:C41"/>
    <mergeCell ref="B42:C42"/>
    <mergeCell ref="B44:C44"/>
    <mergeCell ref="B45:C45"/>
    <mergeCell ref="B46:C46"/>
    <mergeCell ref="B47:C47"/>
    <mergeCell ref="B48:C48"/>
    <mergeCell ref="B49:C49"/>
    <mergeCell ref="B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0"/>
    <col collapsed="false" customWidth="true" hidden="false" outlineLevel="0" max="2" min="2" style="9" width="12"/>
    <col collapsed="false" customWidth="true" hidden="false" outlineLevel="0" max="3" min="3" style="9" width="16"/>
    <col collapsed="false" customWidth="true" hidden="false" outlineLevel="0" max="4" min="4" style="9" width="8"/>
    <col collapsed="false" customWidth="true" hidden="false" outlineLevel="0" max="5" min="5" style="9" width="30"/>
    <col collapsed="false" customWidth="true" hidden="false" outlineLevel="0" max="6" min="6" style="9" width="35"/>
    <col collapsed="false" customWidth="true" hidden="false" outlineLevel="0" max="7" min="7" style="9" width="40"/>
    <col collapsed="false" customWidth="true" hidden="false" outlineLevel="0" max="8" min="8" style="9" width="35"/>
    <col collapsed="false" customWidth="true" hidden="false" outlineLevel="0" max="9" min="9" style="9" width="40"/>
    <col collapsed="false" customWidth="true" hidden="false" outlineLevel="0" max="11" min="10" style="9" width="12"/>
    <col collapsed="false" customWidth="true" hidden="false" outlineLevel="0" max="12" min="12" style="9" width="18"/>
    <col collapsed="false" customWidth="true" hidden="false" outlineLevel="0" max="14" min="13" style="9" width="42"/>
    <col collapsed="false" customWidth="true" hidden="false" outlineLevel="0" max="15" min="15" style="0" width="18"/>
    <col collapsed="false" customWidth="true" hidden="false" outlineLevel="0" max="16" min="16" style="0" width="44"/>
  </cols>
  <sheetData>
    <row r="1" customFormat="false" ht="30" hidden="false" customHeight="true" outlineLevel="0" collapsed="false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1" t="s">
        <v>89</v>
      </c>
      <c r="L1" s="10" t="s">
        <v>90</v>
      </c>
      <c r="M1" s="10" t="s">
        <v>91</v>
      </c>
      <c r="N1" s="10" t="s">
        <v>92</v>
      </c>
      <c r="O1" s="2" t="s">
        <v>93</v>
      </c>
      <c r="P1" s="2" t="s">
        <v>94</v>
      </c>
    </row>
    <row r="2" customFormat="false" ht="45" hidden="false" customHeight="true" outlineLevel="0" collapsed="false">
      <c r="A2" s="12" t="s">
        <v>95</v>
      </c>
      <c r="B2" s="13" t="s">
        <v>96</v>
      </c>
      <c r="C2" s="12" t="s">
        <v>97</v>
      </c>
      <c r="D2" s="12" t="s">
        <v>98</v>
      </c>
      <c r="E2" s="13" t="s">
        <v>99</v>
      </c>
      <c r="F2" s="12" t="s">
        <v>97</v>
      </c>
      <c r="G2" s="12" t="s">
        <v>100</v>
      </c>
      <c r="H2" s="13" t="s">
        <v>101</v>
      </c>
      <c r="I2" s="13" t="s">
        <v>102</v>
      </c>
      <c r="J2" s="13" t="s">
        <v>103</v>
      </c>
      <c r="K2" s="12"/>
      <c r="L2" s="13" t="s">
        <v>104</v>
      </c>
      <c r="M2" s="12"/>
      <c r="N2" s="12"/>
      <c r="O2" s="14" t="s">
        <v>105</v>
      </c>
      <c r="P2" s="12"/>
    </row>
    <row r="3" customFormat="false" ht="45" hidden="false" customHeight="true" outlineLevel="0" collapsed="false">
      <c r="A3" s="12" t="s">
        <v>106</v>
      </c>
      <c r="B3" s="13" t="s">
        <v>107</v>
      </c>
      <c r="C3" s="12" t="s">
        <v>108</v>
      </c>
      <c r="D3" s="12" t="s">
        <v>109</v>
      </c>
      <c r="E3" s="13" t="s">
        <v>110</v>
      </c>
      <c r="F3" s="12" t="s">
        <v>108</v>
      </c>
      <c r="G3" s="12" t="s">
        <v>111</v>
      </c>
      <c r="H3" s="12" t="s">
        <v>112</v>
      </c>
      <c r="I3" s="12" t="s">
        <v>113</v>
      </c>
      <c r="J3" s="13" t="s">
        <v>103</v>
      </c>
      <c r="K3" s="12"/>
      <c r="L3" s="13" t="s">
        <v>104</v>
      </c>
      <c r="M3" s="12"/>
      <c r="N3" s="12"/>
      <c r="O3" s="14" t="s">
        <v>114</v>
      </c>
      <c r="P3" s="12"/>
    </row>
    <row r="4" customFormat="false" ht="45" hidden="false" customHeight="true" outlineLevel="0" collapsed="false">
      <c r="A4" s="12" t="s">
        <v>115</v>
      </c>
      <c r="B4" s="13" t="s">
        <v>107</v>
      </c>
      <c r="C4" s="12" t="s">
        <v>108</v>
      </c>
      <c r="D4" s="12" t="s">
        <v>109</v>
      </c>
      <c r="E4" s="13" t="s">
        <v>116</v>
      </c>
      <c r="F4" s="12" t="s">
        <v>108</v>
      </c>
      <c r="G4" s="12" t="s">
        <v>117</v>
      </c>
      <c r="H4" s="12" t="s">
        <v>118</v>
      </c>
      <c r="I4" s="12" t="s">
        <v>119</v>
      </c>
      <c r="J4" s="13" t="s">
        <v>103</v>
      </c>
      <c r="K4" s="12"/>
      <c r="L4" s="13" t="s">
        <v>104</v>
      </c>
      <c r="M4" s="12"/>
      <c r="N4" s="12"/>
      <c r="O4" s="14" t="s">
        <v>103</v>
      </c>
      <c r="P4" s="14" t="s">
        <v>120</v>
      </c>
    </row>
    <row r="5" customFormat="false" ht="45" hidden="false" customHeight="true" outlineLevel="0" collapsed="false">
      <c r="A5" s="12" t="s">
        <v>121</v>
      </c>
      <c r="B5" s="13" t="s">
        <v>107</v>
      </c>
      <c r="C5" s="12" t="s">
        <v>108</v>
      </c>
      <c r="D5" s="12" t="s">
        <v>109</v>
      </c>
      <c r="E5" s="13" t="s">
        <v>122</v>
      </c>
      <c r="F5" s="12" t="s">
        <v>108</v>
      </c>
      <c r="G5" s="12" t="s">
        <v>123</v>
      </c>
      <c r="H5" s="12" t="s">
        <v>124</v>
      </c>
      <c r="I5" s="12" t="s">
        <v>125</v>
      </c>
      <c r="J5" s="13" t="s">
        <v>103</v>
      </c>
      <c r="K5" s="12"/>
      <c r="L5" s="13" t="s">
        <v>104</v>
      </c>
      <c r="M5" s="12"/>
      <c r="N5" s="12"/>
      <c r="O5" s="14" t="s">
        <v>114</v>
      </c>
      <c r="P5" s="12"/>
    </row>
    <row r="6" customFormat="false" ht="99" hidden="false" customHeight="true" outlineLevel="0" collapsed="false">
      <c r="A6" s="12" t="s">
        <v>126</v>
      </c>
      <c r="B6" s="13" t="s">
        <v>107</v>
      </c>
      <c r="C6" s="12" t="s">
        <v>108</v>
      </c>
      <c r="D6" s="12" t="s">
        <v>109</v>
      </c>
      <c r="E6" s="13" t="s">
        <v>127</v>
      </c>
      <c r="F6" s="12" t="s">
        <v>108</v>
      </c>
      <c r="G6" s="12" t="s">
        <v>128</v>
      </c>
      <c r="H6" s="12" t="s">
        <v>129</v>
      </c>
      <c r="I6" s="12" t="s">
        <v>113</v>
      </c>
      <c r="J6" s="13" t="s">
        <v>103</v>
      </c>
      <c r="K6" s="12"/>
      <c r="L6" s="13" t="s">
        <v>104</v>
      </c>
      <c r="M6" s="12"/>
      <c r="N6" s="13" t="s">
        <v>130</v>
      </c>
      <c r="O6" s="14" t="s">
        <v>103</v>
      </c>
      <c r="P6" s="14" t="s">
        <v>131</v>
      </c>
    </row>
    <row r="7" customFormat="false" ht="138" hidden="false" customHeight="true" outlineLevel="0" collapsed="false">
      <c r="A7" s="12" t="s">
        <v>132</v>
      </c>
      <c r="B7" s="13" t="s">
        <v>133</v>
      </c>
      <c r="C7" s="12" t="s">
        <v>134</v>
      </c>
      <c r="D7" s="12" t="s">
        <v>98</v>
      </c>
      <c r="E7" s="13" t="s">
        <v>135</v>
      </c>
      <c r="F7" s="12" t="s">
        <v>134</v>
      </c>
      <c r="G7" s="12" t="s">
        <v>100</v>
      </c>
      <c r="H7" s="13" t="s">
        <v>136</v>
      </c>
      <c r="I7" s="13" t="s">
        <v>137</v>
      </c>
      <c r="J7" s="13" t="s">
        <v>103</v>
      </c>
      <c r="K7" s="12"/>
      <c r="L7" s="13" t="s">
        <v>104</v>
      </c>
      <c r="M7" s="12"/>
      <c r="N7" s="14" t="s">
        <v>138</v>
      </c>
      <c r="O7" s="14" t="s">
        <v>103</v>
      </c>
      <c r="P7" s="14" t="s">
        <v>139</v>
      </c>
    </row>
    <row r="8" customFormat="false" ht="45" hidden="false" customHeight="true" outlineLevel="0" collapsed="false">
      <c r="A8" s="15" t="s">
        <v>140</v>
      </c>
      <c r="B8" s="16" t="s">
        <v>133</v>
      </c>
      <c r="C8" s="15" t="s">
        <v>134</v>
      </c>
      <c r="D8" s="15" t="s">
        <v>98</v>
      </c>
      <c r="E8" s="16" t="s">
        <v>141</v>
      </c>
      <c r="F8" s="15" t="s">
        <v>142</v>
      </c>
      <c r="G8" s="15" t="s">
        <v>100</v>
      </c>
      <c r="H8" s="16" t="s">
        <v>143</v>
      </c>
      <c r="I8" s="16" t="s">
        <v>144</v>
      </c>
      <c r="J8" s="16" t="s">
        <v>145</v>
      </c>
      <c r="K8" s="15" t="s">
        <v>146</v>
      </c>
      <c r="L8" s="16" t="s">
        <v>103</v>
      </c>
      <c r="M8" s="16" t="s">
        <v>147</v>
      </c>
      <c r="N8" s="15"/>
      <c r="O8" s="14" t="s">
        <v>103</v>
      </c>
      <c r="P8" s="14" t="s">
        <v>148</v>
      </c>
    </row>
    <row r="9" customFormat="false" ht="45" hidden="false" customHeight="true" outlineLevel="0" collapsed="false">
      <c r="A9" s="15" t="s">
        <v>149</v>
      </c>
      <c r="B9" s="16" t="s">
        <v>133</v>
      </c>
      <c r="C9" s="15" t="s">
        <v>134</v>
      </c>
      <c r="D9" s="15" t="s">
        <v>98</v>
      </c>
      <c r="E9" s="16" t="s">
        <v>150</v>
      </c>
      <c r="F9" s="15" t="s">
        <v>151</v>
      </c>
      <c r="G9" s="15" t="s">
        <v>100</v>
      </c>
      <c r="H9" s="16" t="s">
        <v>152</v>
      </c>
      <c r="I9" s="16" t="s">
        <v>144</v>
      </c>
      <c r="J9" s="16" t="s">
        <v>145</v>
      </c>
      <c r="K9" s="15" t="s">
        <v>153</v>
      </c>
      <c r="L9" s="16" t="s">
        <v>103</v>
      </c>
      <c r="M9" s="15" t="s">
        <v>154</v>
      </c>
      <c r="N9" s="15"/>
      <c r="O9" s="14" t="s">
        <v>103</v>
      </c>
      <c r="P9" s="14" t="s">
        <v>155</v>
      </c>
    </row>
    <row r="10" customFormat="false" ht="45" hidden="false" customHeight="true" outlineLevel="0" collapsed="false">
      <c r="A10" s="12" t="s">
        <v>156</v>
      </c>
      <c r="B10" s="13" t="s">
        <v>157</v>
      </c>
      <c r="C10" s="12" t="s">
        <v>158</v>
      </c>
      <c r="D10" s="12" t="s">
        <v>98</v>
      </c>
      <c r="E10" s="13" t="s">
        <v>159</v>
      </c>
      <c r="F10" s="12" t="s">
        <v>158</v>
      </c>
      <c r="G10" s="12" t="s">
        <v>100</v>
      </c>
      <c r="H10" s="13" t="s">
        <v>160</v>
      </c>
      <c r="I10" s="12" t="s">
        <v>161</v>
      </c>
      <c r="J10" s="13" t="s">
        <v>103</v>
      </c>
      <c r="K10" s="12"/>
      <c r="L10" s="13" t="s">
        <v>104</v>
      </c>
      <c r="M10" s="12"/>
      <c r="N10" s="12"/>
      <c r="O10" s="14" t="s">
        <v>105</v>
      </c>
      <c r="P10" s="12"/>
    </row>
    <row r="11" customFormat="false" ht="85.5" hidden="false" customHeight="true" outlineLevel="0" collapsed="false">
      <c r="A11" s="12" t="s">
        <v>162</v>
      </c>
      <c r="B11" s="13" t="s">
        <v>157</v>
      </c>
      <c r="C11" s="12" t="s">
        <v>158</v>
      </c>
      <c r="D11" s="12" t="s">
        <v>98</v>
      </c>
      <c r="E11" s="13" t="s">
        <v>163</v>
      </c>
      <c r="F11" s="12" t="s">
        <v>164</v>
      </c>
      <c r="G11" s="12" t="s">
        <v>100</v>
      </c>
      <c r="H11" s="13" t="s">
        <v>165</v>
      </c>
      <c r="I11" s="12" t="s">
        <v>166</v>
      </c>
      <c r="J11" s="13" t="s">
        <v>103</v>
      </c>
      <c r="K11" s="12"/>
      <c r="L11" s="13" t="s">
        <v>104</v>
      </c>
      <c r="M11" s="12"/>
      <c r="N11" s="13" t="s">
        <v>167</v>
      </c>
      <c r="O11" s="14" t="s">
        <v>105</v>
      </c>
      <c r="P11" s="12"/>
    </row>
    <row r="12" customFormat="false" ht="45" hidden="false" customHeight="true" outlineLevel="0" collapsed="false">
      <c r="A12" s="12" t="s">
        <v>168</v>
      </c>
      <c r="B12" s="13" t="s">
        <v>157</v>
      </c>
      <c r="C12" s="12" t="s">
        <v>158</v>
      </c>
      <c r="D12" s="12" t="s">
        <v>98</v>
      </c>
      <c r="E12" s="13" t="s">
        <v>169</v>
      </c>
      <c r="F12" s="12" t="s">
        <v>170</v>
      </c>
      <c r="G12" s="12" t="s">
        <v>100</v>
      </c>
      <c r="H12" s="13" t="s">
        <v>171</v>
      </c>
      <c r="I12" s="12" t="s">
        <v>166</v>
      </c>
      <c r="J12" s="13" t="s">
        <v>103</v>
      </c>
      <c r="K12" s="12"/>
      <c r="L12" s="13" t="s">
        <v>104</v>
      </c>
      <c r="M12" s="12"/>
      <c r="N12" s="12"/>
      <c r="O12" s="14" t="s">
        <v>105</v>
      </c>
      <c r="P12" s="12"/>
    </row>
    <row r="13" customFormat="false" ht="45" hidden="false" customHeight="true" outlineLevel="0" collapsed="false">
      <c r="A13" s="12" t="s">
        <v>172</v>
      </c>
      <c r="B13" s="13" t="s">
        <v>107</v>
      </c>
      <c r="C13" s="12" t="s">
        <v>108</v>
      </c>
      <c r="D13" s="12" t="s">
        <v>109</v>
      </c>
      <c r="E13" s="13" t="s">
        <v>173</v>
      </c>
      <c r="F13" s="12" t="s">
        <v>108</v>
      </c>
      <c r="G13" s="12" t="s">
        <v>174</v>
      </c>
      <c r="H13" s="12" t="s">
        <v>118</v>
      </c>
      <c r="I13" s="12" t="s">
        <v>175</v>
      </c>
      <c r="J13" s="13" t="s">
        <v>103</v>
      </c>
      <c r="K13" s="12"/>
      <c r="L13" s="13" t="s">
        <v>104</v>
      </c>
      <c r="M13" s="12"/>
      <c r="N13" s="12"/>
      <c r="O13" s="14" t="s">
        <v>114</v>
      </c>
      <c r="P13" s="12"/>
    </row>
    <row r="14" customFormat="false" ht="45" hidden="false" customHeight="true" outlineLevel="0" collapsed="false">
      <c r="A14" s="12" t="s">
        <v>176</v>
      </c>
      <c r="B14" s="13" t="s">
        <v>107</v>
      </c>
      <c r="C14" s="12" t="s">
        <v>108</v>
      </c>
      <c r="D14" s="12" t="s">
        <v>109</v>
      </c>
      <c r="E14" s="13" t="s">
        <v>177</v>
      </c>
      <c r="F14" s="12" t="s">
        <v>108</v>
      </c>
      <c r="G14" s="12" t="s">
        <v>178</v>
      </c>
      <c r="H14" s="12" t="s">
        <v>179</v>
      </c>
      <c r="I14" s="12" t="s">
        <v>180</v>
      </c>
      <c r="J14" s="13" t="s">
        <v>103</v>
      </c>
      <c r="K14" s="12"/>
      <c r="L14" s="13" t="s">
        <v>104</v>
      </c>
      <c r="M14" s="12"/>
      <c r="N14" s="12"/>
      <c r="O14" s="14" t="s">
        <v>114</v>
      </c>
      <c r="P14" s="12"/>
    </row>
    <row r="15" customFormat="false" ht="45" hidden="false" customHeight="true" outlineLevel="0" collapsed="false">
      <c r="A15" s="12" t="s">
        <v>181</v>
      </c>
      <c r="B15" s="13" t="s">
        <v>96</v>
      </c>
      <c r="C15" s="12" t="s">
        <v>97</v>
      </c>
      <c r="D15" s="12" t="s">
        <v>98</v>
      </c>
      <c r="E15" s="13" t="s">
        <v>182</v>
      </c>
      <c r="F15" s="12" t="s">
        <v>183</v>
      </c>
      <c r="G15" s="12" t="s">
        <v>100</v>
      </c>
      <c r="H15" s="13" t="s">
        <v>184</v>
      </c>
      <c r="I15" s="13" t="s">
        <v>185</v>
      </c>
      <c r="J15" s="13" t="s">
        <v>103</v>
      </c>
      <c r="K15" s="12"/>
      <c r="L15" s="13" t="s">
        <v>104</v>
      </c>
      <c r="M15" s="12"/>
      <c r="N15" s="12"/>
      <c r="O15" s="14" t="s">
        <v>105</v>
      </c>
      <c r="P15" s="12"/>
    </row>
    <row r="16" customFormat="false" ht="45" hidden="false" customHeight="true" outlineLevel="0" collapsed="false">
      <c r="A16" s="12" t="s">
        <v>186</v>
      </c>
      <c r="B16" s="13" t="s">
        <v>96</v>
      </c>
      <c r="C16" s="12" t="s">
        <v>97</v>
      </c>
      <c r="D16" s="12" t="s">
        <v>98</v>
      </c>
      <c r="E16" s="13" t="s">
        <v>187</v>
      </c>
      <c r="F16" s="12" t="s">
        <v>188</v>
      </c>
      <c r="G16" s="12" t="s">
        <v>100</v>
      </c>
      <c r="H16" s="13" t="s">
        <v>189</v>
      </c>
      <c r="I16" s="13" t="s">
        <v>190</v>
      </c>
      <c r="J16" s="13" t="s">
        <v>103</v>
      </c>
      <c r="K16" s="12"/>
      <c r="L16" s="13" t="s">
        <v>104</v>
      </c>
      <c r="M16" s="12"/>
      <c r="N16" s="12"/>
      <c r="O16" s="14" t="s">
        <v>105</v>
      </c>
      <c r="P16" s="12"/>
    </row>
    <row r="17" customFormat="false" ht="45" hidden="false" customHeight="true" outlineLevel="0" collapsed="false">
      <c r="A17" s="12" t="s">
        <v>191</v>
      </c>
      <c r="B17" s="13" t="s">
        <v>96</v>
      </c>
      <c r="C17" s="12" t="s">
        <v>97</v>
      </c>
      <c r="D17" s="12" t="s">
        <v>98</v>
      </c>
      <c r="E17" s="13" t="s">
        <v>192</v>
      </c>
      <c r="F17" s="12" t="s">
        <v>193</v>
      </c>
      <c r="G17" s="12" t="s">
        <v>100</v>
      </c>
      <c r="H17" s="13" t="s">
        <v>171</v>
      </c>
      <c r="I17" s="12" t="s">
        <v>166</v>
      </c>
      <c r="J17" s="13" t="s">
        <v>103</v>
      </c>
      <c r="K17" s="12"/>
      <c r="L17" s="13" t="s">
        <v>104</v>
      </c>
      <c r="M17" s="12"/>
      <c r="N17" s="12"/>
      <c r="O17" s="14" t="s">
        <v>105</v>
      </c>
      <c r="P17" s="12"/>
    </row>
    <row r="18" customFormat="false" ht="45" hidden="false" customHeight="true" outlineLevel="0" collapsed="false">
      <c r="A18" s="12" t="s">
        <v>194</v>
      </c>
      <c r="B18" s="13" t="s">
        <v>133</v>
      </c>
      <c r="C18" s="12" t="s">
        <v>134</v>
      </c>
      <c r="D18" s="12" t="s">
        <v>109</v>
      </c>
      <c r="E18" s="13" t="s">
        <v>195</v>
      </c>
      <c r="F18" s="12" t="s">
        <v>134</v>
      </c>
      <c r="G18" s="13" t="s">
        <v>196</v>
      </c>
      <c r="H18" s="12" t="s">
        <v>197</v>
      </c>
      <c r="I18" s="12" t="s">
        <v>198</v>
      </c>
      <c r="J18" s="13" t="s">
        <v>103</v>
      </c>
      <c r="K18" s="12"/>
      <c r="L18" s="13" t="s">
        <v>104</v>
      </c>
      <c r="M18" s="12"/>
      <c r="N18" s="12"/>
      <c r="O18" s="14" t="s">
        <v>103</v>
      </c>
      <c r="P18" s="14" t="s">
        <v>199</v>
      </c>
    </row>
    <row r="19" customFormat="false" ht="45" hidden="false" customHeight="true" outlineLevel="0" collapsed="false">
      <c r="A19" s="12" t="s">
        <v>200</v>
      </c>
      <c r="B19" s="13" t="s">
        <v>133</v>
      </c>
      <c r="C19" s="12" t="s">
        <v>134</v>
      </c>
      <c r="D19" s="12" t="s">
        <v>109</v>
      </c>
      <c r="E19" s="13" t="s">
        <v>201</v>
      </c>
      <c r="F19" s="12" t="s">
        <v>134</v>
      </c>
      <c r="G19" s="13" t="s">
        <v>202</v>
      </c>
      <c r="H19" s="12" t="s">
        <v>203</v>
      </c>
      <c r="I19" s="12" t="s">
        <v>204</v>
      </c>
      <c r="J19" s="13" t="s">
        <v>103</v>
      </c>
      <c r="K19" s="12"/>
      <c r="L19" s="13" t="s">
        <v>104</v>
      </c>
      <c r="M19" s="12"/>
      <c r="N19" s="12"/>
      <c r="O19" s="14" t="s">
        <v>114</v>
      </c>
      <c r="P19" s="12"/>
    </row>
    <row r="20" customFormat="false" ht="45" hidden="false" customHeight="true" outlineLevel="0" collapsed="false">
      <c r="A20" s="15" t="s">
        <v>205</v>
      </c>
      <c r="B20" s="16" t="s">
        <v>96</v>
      </c>
      <c r="C20" s="15" t="s">
        <v>97</v>
      </c>
      <c r="D20" s="15" t="s">
        <v>98</v>
      </c>
      <c r="E20" s="16" t="s">
        <v>206</v>
      </c>
      <c r="F20" s="15" t="s">
        <v>207</v>
      </c>
      <c r="G20" s="15" t="s">
        <v>100</v>
      </c>
      <c r="H20" s="16" t="s">
        <v>208</v>
      </c>
      <c r="I20" s="16" t="s">
        <v>209</v>
      </c>
      <c r="J20" s="16" t="s">
        <v>145</v>
      </c>
      <c r="K20" s="15" t="s">
        <v>210</v>
      </c>
      <c r="L20" s="16" t="s">
        <v>103</v>
      </c>
      <c r="M20" s="15" t="s">
        <v>166</v>
      </c>
      <c r="N20" s="15"/>
      <c r="O20" s="17" t="s">
        <v>105</v>
      </c>
      <c r="P20" s="15"/>
    </row>
    <row r="21" customFormat="false" ht="45" hidden="false" customHeight="true" outlineLevel="0" collapsed="false">
      <c r="A21" s="12" t="s">
        <v>211</v>
      </c>
      <c r="B21" s="13" t="s">
        <v>96</v>
      </c>
      <c r="C21" s="12" t="s">
        <v>97</v>
      </c>
      <c r="D21" s="12" t="s">
        <v>98</v>
      </c>
      <c r="E21" s="13" t="s">
        <v>212</v>
      </c>
      <c r="F21" s="12" t="s">
        <v>213</v>
      </c>
      <c r="G21" s="12" t="s">
        <v>100</v>
      </c>
      <c r="H21" s="13" t="s">
        <v>171</v>
      </c>
      <c r="I21" s="12" t="s">
        <v>166</v>
      </c>
      <c r="J21" s="13" t="s">
        <v>103</v>
      </c>
      <c r="K21" s="12"/>
      <c r="L21" s="13" t="s">
        <v>104</v>
      </c>
      <c r="M21" s="12"/>
      <c r="N21" s="12"/>
      <c r="O21" s="14" t="s">
        <v>105</v>
      </c>
      <c r="P21" s="12"/>
    </row>
    <row r="22" customFormat="false" ht="45" hidden="false" customHeight="true" outlineLevel="0" collapsed="false">
      <c r="A22" s="12" t="s">
        <v>214</v>
      </c>
      <c r="B22" s="13" t="s">
        <v>157</v>
      </c>
      <c r="C22" s="12" t="s">
        <v>158</v>
      </c>
      <c r="D22" s="12" t="s">
        <v>109</v>
      </c>
      <c r="E22" s="13" t="s">
        <v>215</v>
      </c>
      <c r="F22" s="12" t="s">
        <v>216</v>
      </c>
      <c r="G22" s="12" t="s">
        <v>217</v>
      </c>
      <c r="H22" s="12" t="s">
        <v>218</v>
      </c>
      <c r="I22" s="12" t="s">
        <v>218</v>
      </c>
      <c r="J22" s="13" t="s">
        <v>103</v>
      </c>
      <c r="K22" s="12"/>
      <c r="L22" s="13" t="s">
        <v>104</v>
      </c>
      <c r="M22" s="12"/>
      <c r="N22" s="12"/>
      <c r="O22" s="14" t="s">
        <v>105</v>
      </c>
      <c r="P22" s="12"/>
    </row>
    <row r="23" customFormat="false" ht="45" hidden="false" customHeight="true" outlineLevel="0" collapsed="false">
      <c r="A23" s="12" t="s">
        <v>219</v>
      </c>
      <c r="B23" s="13" t="s">
        <v>157</v>
      </c>
      <c r="C23" s="12" t="s">
        <v>158</v>
      </c>
      <c r="D23" s="12" t="s">
        <v>109</v>
      </c>
      <c r="E23" s="13" t="s">
        <v>220</v>
      </c>
      <c r="F23" s="12" t="s">
        <v>216</v>
      </c>
      <c r="G23" s="12" t="s">
        <v>217</v>
      </c>
      <c r="H23" s="12" t="s">
        <v>221</v>
      </c>
      <c r="I23" s="12" t="s">
        <v>218</v>
      </c>
      <c r="J23" s="13" t="s">
        <v>103</v>
      </c>
      <c r="K23" s="12"/>
      <c r="L23" s="13" t="s">
        <v>104</v>
      </c>
      <c r="M23" s="12"/>
      <c r="N23" s="12"/>
      <c r="O23" s="14" t="s">
        <v>105</v>
      </c>
      <c r="P23" s="12"/>
    </row>
    <row r="24" customFormat="false" ht="45" hidden="false" customHeight="true" outlineLevel="0" collapsed="false">
      <c r="A24" s="12" t="s">
        <v>222</v>
      </c>
      <c r="B24" s="13" t="s">
        <v>157</v>
      </c>
      <c r="C24" s="12" t="s">
        <v>158</v>
      </c>
      <c r="D24" s="12" t="s">
        <v>109</v>
      </c>
      <c r="E24" s="13" t="s">
        <v>223</v>
      </c>
      <c r="F24" s="12" t="s">
        <v>224</v>
      </c>
      <c r="G24" s="12" t="s">
        <v>217</v>
      </c>
      <c r="H24" s="12" t="s">
        <v>225</v>
      </c>
      <c r="I24" s="12" t="s">
        <v>225</v>
      </c>
      <c r="J24" s="13" t="s">
        <v>103</v>
      </c>
      <c r="K24" s="12"/>
      <c r="L24" s="13" t="s">
        <v>104</v>
      </c>
      <c r="M24" s="12"/>
      <c r="N24" s="12"/>
      <c r="O24" s="14" t="s">
        <v>105</v>
      </c>
      <c r="P24" s="12"/>
    </row>
    <row r="25" customFormat="false" ht="45" hidden="false" customHeight="true" outlineLevel="0" collapsed="false">
      <c r="A25" s="12" t="s">
        <v>226</v>
      </c>
      <c r="B25" s="13" t="s">
        <v>157</v>
      </c>
      <c r="C25" s="12" t="s">
        <v>158</v>
      </c>
      <c r="D25" s="12" t="s">
        <v>109</v>
      </c>
      <c r="E25" s="13" t="s">
        <v>227</v>
      </c>
      <c r="F25" s="12" t="s">
        <v>216</v>
      </c>
      <c r="G25" s="13" t="s">
        <v>228</v>
      </c>
      <c r="H25" s="12" t="s">
        <v>229</v>
      </c>
      <c r="I25" s="12" t="s">
        <v>230</v>
      </c>
      <c r="J25" s="13" t="s">
        <v>103</v>
      </c>
      <c r="K25" s="12"/>
      <c r="L25" s="13" t="s">
        <v>104</v>
      </c>
      <c r="M25" s="12"/>
      <c r="N25" s="12"/>
      <c r="O25" s="14" t="s">
        <v>105</v>
      </c>
      <c r="P25" s="12"/>
    </row>
    <row r="26" customFormat="false" ht="72.75" hidden="false" customHeight="true" outlineLevel="0" collapsed="false">
      <c r="A26" s="12" t="s">
        <v>231</v>
      </c>
      <c r="B26" s="13" t="s">
        <v>107</v>
      </c>
      <c r="C26" s="12" t="s">
        <v>108</v>
      </c>
      <c r="D26" s="12" t="s">
        <v>109</v>
      </c>
      <c r="E26" s="13" t="s">
        <v>232</v>
      </c>
      <c r="F26" s="12" t="s">
        <v>108</v>
      </c>
      <c r="G26" s="12" t="s">
        <v>233</v>
      </c>
      <c r="H26" s="12" t="s">
        <v>203</v>
      </c>
      <c r="I26" s="12" t="s">
        <v>234</v>
      </c>
      <c r="J26" s="13" t="s">
        <v>103</v>
      </c>
      <c r="K26" s="12"/>
      <c r="L26" s="13" t="s">
        <v>104</v>
      </c>
      <c r="M26" s="12"/>
      <c r="N26" s="12" t="s">
        <v>235</v>
      </c>
      <c r="O26" s="14" t="s">
        <v>114</v>
      </c>
      <c r="P26" s="12"/>
    </row>
    <row r="27" customFormat="false" ht="45" hidden="false" customHeight="true" outlineLevel="0" collapsed="false">
      <c r="A27" s="12" t="s">
        <v>236</v>
      </c>
      <c r="B27" s="13" t="s">
        <v>107</v>
      </c>
      <c r="C27" s="12" t="s">
        <v>108</v>
      </c>
      <c r="D27" s="12" t="s">
        <v>109</v>
      </c>
      <c r="E27" s="13" t="s">
        <v>237</v>
      </c>
      <c r="F27" s="12" t="s">
        <v>108</v>
      </c>
      <c r="G27" s="12" t="s">
        <v>238</v>
      </c>
      <c r="H27" s="12" t="s">
        <v>239</v>
      </c>
      <c r="I27" s="12" t="s">
        <v>234</v>
      </c>
      <c r="J27" s="13" t="s">
        <v>103</v>
      </c>
      <c r="K27" s="12"/>
      <c r="L27" s="13" t="s">
        <v>104</v>
      </c>
      <c r="M27" s="12"/>
      <c r="N27" s="12"/>
      <c r="O27" s="14" t="s">
        <v>114</v>
      </c>
      <c r="P27" s="12"/>
    </row>
    <row r="28" customFormat="false" ht="45" hidden="false" customHeight="true" outlineLevel="0" collapsed="false">
      <c r="A28" s="15" t="s">
        <v>240</v>
      </c>
      <c r="B28" s="16" t="s">
        <v>107</v>
      </c>
      <c r="C28" s="15" t="s">
        <v>108</v>
      </c>
      <c r="D28" s="15" t="s">
        <v>109</v>
      </c>
      <c r="E28" s="16" t="s">
        <v>241</v>
      </c>
      <c r="F28" s="15" t="s">
        <v>108</v>
      </c>
      <c r="G28" s="15" t="s">
        <v>242</v>
      </c>
      <c r="H28" s="16" t="s">
        <v>243</v>
      </c>
      <c r="I28" s="15" t="s">
        <v>244</v>
      </c>
      <c r="J28" s="16" t="s">
        <v>145</v>
      </c>
      <c r="K28" s="15" t="s">
        <v>245</v>
      </c>
      <c r="L28" s="16" t="s">
        <v>246</v>
      </c>
      <c r="M28" s="15" t="s">
        <v>247</v>
      </c>
      <c r="N28" s="15"/>
      <c r="O28" s="14" t="s">
        <v>103</v>
      </c>
      <c r="P28" s="12" t="s">
        <v>248</v>
      </c>
    </row>
    <row r="29" customFormat="false" ht="45" hidden="false" customHeight="true" outlineLevel="0" collapsed="false">
      <c r="A29" s="12" t="s">
        <v>249</v>
      </c>
      <c r="B29" s="13" t="s">
        <v>107</v>
      </c>
      <c r="C29" s="12" t="s">
        <v>108</v>
      </c>
      <c r="D29" s="12" t="s">
        <v>109</v>
      </c>
      <c r="E29" s="13" t="s">
        <v>250</v>
      </c>
      <c r="F29" s="12" t="s">
        <v>108</v>
      </c>
      <c r="G29" s="12" t="s">
        <v>251</v>
      </c>
      <c r="H29" s="12" t="s">
        <v>252</v>
      </c>
      <c r="I29" s="12" t="s">
        <v>253</v>
      </c>
      <c r="J29" s="13" t="s">
        <v>103</v>
      </c>
      <c r="K29" s="12"/>
      <c r="L29" s="13" t="s">
        <v>104</v>
      </c>
      <c r="M29" s="12"/>
      <c r="N29" s="12"/>
      <c r="O29" s="14" t="s">
        <v>114</v>
      </c>
      <c r="P29" s="12"/>
    </row>
    <row r="30" customFormat="false" ht="45" hidden="false" customHeight="true" outlineLevel="0" collapsed="false">
      <c r="A30" s="15" t="s">
        <v>254</v>
      </c>
      <c r="B30" s="16" t="s">
        <v>96</v>
      </c>
      <c r="C30" s="15" t="s">
        <v>97</v>
      </c>
      <c r="D30" s="15" t="s">
        <v>98</v>
      </c>
      <c r="E30" s="16" t="s">
        <v>255</v>
      </c>
      <c r="F30" s="15" t="s">
        <v>256</v>
      </c>
      <c r="G30" s="15" t="s">
        <v>100</v>
      </c>
      <c r="H30" s="16" t="s">
        <v>257</v>
      </c>
      <c r="I30" s="16" t="s">
        <v>209</v>
      </c>
      <c r="J30" s="16" t="s">
        <v>145</v>
      </c>
      <c r="K30" s="15" t="s">
        <v>258</v>
      </c>
      <c r="L30" s="16" t="s">
        <v>103</v>
      </c>
      <c r="M30" s="16" t="s">
        <v>259</v>
      </c>
      <c r="N30" s="15"/>
      <c r="O30" s="17" t="s">
        <v>105</v>
      </c>
      <c r="P30" s="15"/>
    </row>
    <row r="31" customFormat="false" ht="45" hidden="false" customHeight="true" outlineLevel="0" collapsed="false">
      <c r="A31" s="15" t="s">
        <v>260</v>
      </c>
      <c r="B31" s="16" t="s">
        <v>96</v>
      </c>
      <c r="C31" s="15" t="s">
        <v>97</v>
      </c>
      <c r="D31" s="15" t="s">
        <v>98</v>
      </c>
      <c r="E31" s="16" t="s">
        <v>261</v>
      </c>
      <c r="F31" s="15" t="s">
        <v>262</v>
      </c>
      <c r="G31" s="15" t="s">
        <v>100</v>
      </c>
      <c r="H31" s="16" t="s">
        <v>152</v>
      </c>
      <c r="I31" s="16" t="s">
        <v>209</v>
      </c>
      <c r="J31" s="16" t="s">
        <v>145</v>
      </c>
      <c r="K31" s="15" t="s">
        <v>263</v>
      </c>
      <c r="L31" s="16" t="s">
        <v>103</v>
      </c>
      <c r="M31" s="15" t="s">
        <v>264</v>
      </c>
      <c r="N31" s="15"/>
      <c r="O31" s="17" t="s">
        <v>105</v>
      </c>
      <c r="P31" s="15"/>
    </row>
    <row r="32" customFormat="false" ht="45" hidden="false" customHeight="true" outlineLevel="0" collapsed="false">
      <c r="A32" s="12" t="s">
        <v>265</v>
      </c>
      <c r="B32" s="13" t="s">
        <v>133</v>
      </c>
      <c r="C32" s="12" t="s">
        <v>134</v>
      </c>
      <c r="D32" s="12" t="s">
        <v>109</v>
      </c>
      <c r="E32" s="13" t="s">
        <v>266</v>
      </c>
      <c r="F32" s="12" t="s">
        <v>134</v>
      </c>
      <c r="G32" s="13" t="s">
        <v>267</v>
      </c>
      <c r="H32" s="12" t="s">
        <v>268</v>
      </c>
      <c r="I32" s="12" t="s">
        <v>204</v>
      </c>
      <c r="J32" s="13" t="s">
        <v>103</v>
      </c>
      <c r="K32" s="12"/>
      <c r="L32" s="13" t="s">
        <v>104</v>
      </c>
      <c r="M32" s="12"/>
      <c r="N32" s="12"/>
      <c r="O32" s="14" t="s">
        <v>114</v>
      </c>
      <c r="P32" s="12"/>
    </row>
    <row r="33" customFormat="false" ht="45" hidden="false" customHeight="true" outlineLevel="0" collapsed="false">
      <c r="A33" s="15" t="s">
        <v>269</v>
      </c>
      <c r="B33" s="16" t="s">
        <v>133</v>
      </c>
      <c r="C33" s="15" t="s">
        <v>134</v>
      </c>
      <c r="D33" s="15" t="s">
        <v>109</v>
      </c>
      <c r="E33" s="16" t="s">
        <v>270</v>
      </c>
      <c r="F33" s="15" t="s">
        <v>134</v>
      </c>
      <c r="G33" s="15" t="s">
        <v>271</v>
      </c>
      <c r="H33" s="15" t="s">
        <v>272</v>
      </c>
      <c r="I33" s="16" t="s">
        <v>273</v>
      </c>
      <c r="J33" s="16" t="s">
        <v>145</v>
      </c>
      <c r="K33" s="15" t="s">
        <v>274</v>
      </c>
      <c r="L33" s="16" t="s">
        <v>103</v>
      </c>
      <c r="M33" s="15" t="s">
        <v>275</v>
      </c>
      <c r="N33" s="15"/>
      <c r="O33" s="14" t="s">
        <v>103</v>
      </c>
      <c r="P33" s="12" t="s">
        <v>276</v>
      </c>
    </row>
    <row r="34" customFormat="false" ht="45" hidden="false" customHeight="true" outlineLevel="0" collapsed="false">
      <c r="A34" s="15" t="s">
        <v>277</v>
      </c>
      <c r="B34" s="16" t="s">
        <v>96</v>
      </c>
      <c r="C34" s="15" t="s">
        <v>97</v>
      </c>
      <c r="D34" s="15" t="s">
        <v>98</v>
      </c>
      <c r="E34" s="16" t="s">
        <v>278</v>
      </c>
      <c r="F34" s="15" t="s">
        <v>279</v>
      </c>
      <c r="G34" s="15" t="s">
        <v>100</v>
      </c>
      <c r="H34" s="16" t="s">
        <v>280</v>
      </c>
      <c r="I34" s="16" t="s">
        <v>281</v>
      </c>
      <c r="J34" s="16" t="s">
        <v>145</v>
      </c>
      <c r="K34" s="15" t="s">
        <v>282</v>
      </c>
      <c r="L34" s="16" t="s">
        <v>103</v>
      </c>
      <c r="M34" s="16" t="s">
        <v>283</v>
      </c>
      <c r="N34" s="15"/>
      <c r="O34" s="17" t="s">
        <v>105</v>
      </c>
      <c r="P34" s="15"/>
    </row>
    <row r="35" customFormat="false" ht="46.5" hidden="false" customHeight="true" outlineLevel="0" collapsed="false">
      <c r="A35" s="15" t="s">
        <v>284</v>
      </c>
      <c r="B35" s="16" t="s">
        <v>107</v>
      </c>
      <c r="C35" s="15" t="s">
        <v>108</v>
      </c>
      <c r="D35" s="15" t="s">
        <v>109</v>
      </c>
      <c r="E35" s="16" t="s">
        <v>285</v>
      </c>
      <c r="F35" s="15" t="s">
        <v>108</v>
      </c>
      <c r="G35" s="15" t="s">
        <v>286</v>
      </c>
      <c r="H35" s="15" t="s">
        <v>287</v>
      </c>
      <c r="I35" s="15" t="s">
        <v>288</v>
      </c>
      <c r="J35" s="16" t="s">
        <v>145</v>
      </c>
      <c r="K35" s="15" t="s">
        <v>289</v>
      </c>
      <c r="L35" s="15" t="s">
        <v>290</v>
      </c>
      <c r="M35" s="15"/>
      <c r="N35" s="16" t="s">
        <v>291</v>
      </c>
      <c r="O35" s="14" t="s">
        <v>103</v>
      </c>
      <c r="P35" s="12" t="s">
        <v>292</v>
      </c>
    </row>
    <row r="36" customFormat="false" ht="46.5" hidden="false" customHeight="true" outlineLevel="0" collapsed="false">
      <c r="A36" s="12" t="s">
        <v>293</v>
      </c>
      <c r="B36" s="13" t="s">
        <v>107</v>
      </c>
      <c r="C36" s="12" t="s">
        <v>108</v>
      </c>
      <c r="D36" s="12" t="s">
        <v>109</v>
      </c>
      <c r="E36" s="12" t="s">
        <v>294</v>
      </c>
      <c r="F36" s="12" t="s">
        <v>108</v>
      </c>
      <c r="G36" s="12" t="s">
        <v>295</v>
      </c>
      <c r="H36" s="12" t="s">
        <v>296</v>
      </c>
      <c r="I36" s="12" t="s">
        <v>297</v>
      </c>
      <c r="J36" s="13" t="s">
        <v>103</v>
      </c>
      <c r="K36" s="12"/>
      <c r="L36" s="12" t="s">
        <v>290</v>
      </c>
      <c r="M36" s="12"/>
      <c r="N36" s="13" t="s">
        <v>291</v>
      </c>
      <c r="O36" s="14" t="s">
        <v>114</v>
      </c>
      <c r="P36" s="12"/>
    </row>
    <row r="37" customFormat="false" ht="46.5" hidden="false" customHeight="true" outlineLevel="0" collapsed="false">
      <c r="A37" s="12" t="s">
        <v>298</v>
      </c>
      <c r="B37" s="13" t="s">
        <v>107</v>
      </c>
      <c r="C37" s="12" t="s">
        <v>108</v>
      </c>
      <c r="D37" s="12" t="s">
        <v>109</v>
      </c>
      <c r="E37" s="12" t="s">
        <v>299</v>
      </c>
      <c r="F37" s="12" t="s">
        <v>108</v>
      </c>
      <c r="G37" s="12" t="s">
        <v>300</v>
      </c>
      <c r="H37" s="12" t="s">
        <v>296</v>
      </c>
      <c r="I37" s="12" t="s">
        <v>297</v>
      </c>
      <c r="J37" s="13" t="s">
        <v>103</v>
      </c>
      <c r="K37" s="12"/>
      <c r="L37" s="12" t="s">
        <v>290</v>
      </c>
      <c r="M37" s="12"/>
      <c r="N37" s="13" t="s">
        <v>291</v>
      </c>
      <c r="O37" s="14" t="s">
        <v>114</v>
      </c>
      <c r="P37" s="12"/>
    </row>
    <row r="38" customFormat="false" ht="46.5" hidden="false" customHeight="true" outlineLevel="0" collapsed="false">
      <c r="A38" s="12" t="s">
        <v>301</v>
      </c>
      <c r="B38" s="13" t="s">
        <v>96</v>
      </c>
      <c r="C38" s="12" t="s">
        <v>97</v>
      </c>
      <c r="D38" s="12" t="s">
        <v>98</v>
      </c>
      <c r="E38" s="12" t="s">
        <v>302</v>
      </c>
      <c r="F38" s="12" t="s">
        <v>303</v>
      </c>
      <c r="G38" s="12" t="s">
        <v>100</v>
      </c>
      <c r="H38" s="13" t="s">
        <v>304</v>
      </c>
      <c r="I38" s="12" t="s">
        <v>166</v>
      </c>
      <c r="J38" s="13" t="s">
        <v>103</v>
      </c>
      <c r="K38" s="12"/>
      <c r="L38" s="12" t="s">
        <v>290</v>
      </c>
      <c r="M38" s="12"/>
      <c r="N38" s="13" t="s">
        <v>291</v>
      </c>
      <c r="O38" s="14" t="s">
        <v>105</v>
      </c>
      <c r="P38" s="12"/>
    </row>
    <row r="39" customFormat="false" ht="46.5" hidden="false" customHeight="true" outlineLevel="0" collapsed="false">
      <c r="A39" s="12" t="s">
        <v>305</v>
      </c>
      <c r="B39" s="13" t="s">
        <v>96</v>
      </c>
      <c r="C39" s="12" t="s">
        <v>97</v>
      </c>
      <c r="D39" s="12" t="s">
        <v>98</v>
      </c>
      <c r="E39" s="12" t="s">
        <v>306</v>
      </c>
      <c r="F39" s="12" t="s">
        <v>307</v>
      </c>
      <c r="G39" s="12" t="s">
        <v>100</v>
      </c>
      <c r="H39" s="13" t="s">
        <v>308</v>
      </c>
      <c r="I39" s="12" t="s">
        <v>166</v>
      </c>
      <c r="J39" s="13" t="s">
        <v>103</v>
      </c>
      <c r="K39" s="12"/>
      <c r="L39" s="12" t="s">
        <v>290</v>
      </c>
      <c r="M39" s="12"/>
      <c r="N39" s="13" t="s">
        <v>291</v>
      </c>
      <c r="O39" s="14" t="s">
        <v>105</v>
      </c>
      <c r="P39" s="12"/>
    </row>
    <row r="40" customFormat="false" ht="46.5" hidden="false" customHeight="true" outlineLevel="0" collapsed="false">
      <c r="A40" s="15" t="s">
        <v>309</v>
      </c>
      <c r="B40" s="16" t="s">
        <v>133</v>
      </c>
      <c r="C40" s="15" t="s">
        <v>134</v>
      </c>
      <c r="D40" s="15" t="s">
        <v>98</v>
      </c>
      <c r="E40" s="16" t="s">
        <v>310</v>
      </c>
      <c r="F40" s="15" t="s">
        <v>134</v>
      </c>
      <c r="G40" s="15" t="s">
        <v>311</v>
      </c>
      <c r="H40" s="16" t="s">
        <v>312</v>
      </c>
      <c r="I40" s="15" t="s">
        <v>313</v>
      </c>
      <c r="J40" s="16" t="s">
        <v>145</v>
      </c>
      <c r="K40" s="15" t="s">
        <v>314</v>
      </c>
      <c r="L40" s="15" t="s">
        <v>290</v>
      </c>
      <c r="M40" s="15"/>
      <c r="N40" s="16" t="s">
        <v>291</v>
      </c>
      <c r="O40" s="14" t="s">
        <v>103</v>
      </c>
      <c r="P40" s="12" t="s">
        <v>315</v>
      </c>
    </row>
    <row r="41" customFormat="false" ht="46.5" hidden="false" customHeight="true" outlineLevel="0" collapsed="false">
      <c r="A41" s="15" t="s">
        <v>316</v>
      </c>
      <c r="B41" s="16" t="s">
        <v>133</v>
      </c>
      <c r="C41" s="15" t="s">
        <v>134</v>
      </c>
      <c r="D41" s="15" t="s">
        <v>98</v>
      </c>
      <c r="E41" s="16" t="s">
        <v>317</v>
      </c>
      <c r="F41" s="15" t="s">
        <v>318</v>
      </c>
      <c r="G41" s="15" t="s">
        <v>311</v>
      </c>
      <c r="H41" s="16" t="s">
        <v>319</v>
      </c>
      <c r="I41" s="15" t="s">
        <v>320</v>
      </c>
      <c r="J41" s="16" t="s">
        <v>145</v>
      </c>
      <c r="K41" s="15" t="s">
        <v>321</v>
      </c>
      <c r="L41" s="15" t="s">
        <v>290</v>
      </c>
      <c r="M41" s="15"/>
      <c r="N41" s="16" t="s">
        <v>291</v>
      </c>
      <c r="O41" s="14" t="s">
        <v>103</v>
      </c>
      <c r="P41" s="14" t="s">
        <v>322</v>
      </c>
    </row>
    <row r="42" customFormat="false" ht="46.5" hidden="false" customHeight="true" outlineLevel="0" collapsed="false">
      <c r="A42" s="15" t="s">
        <v>323</v>
      </c>
      <c r="B42" s="16" t="s">
        <v>107</v>
      </c>
      <c r="C42" s="15" t="s">
        <v>108</v>
      </c>
      <c r="D42" s="15" t="s">
        <v>109</v>
      </c>
      <c r="E42" s="16" t="s">
        <v>324</v>
      </c>
      <c r="F42" s="15" t="s">
        <v>108</v>
      </c>
      <c r="G42" s="15" t="s">
        <v>325</v>
      </c>
      <c r="H42" s="15" t="s">
        <v>326</v>
      </c>
      <c r="I42" s="16" t="s">
        <v>327</v>
      </c>
      <c r="J42" s="16" t="s">
        <v>145</v>
      </c>
      <c r="K42" s="15" t="s">
        <v>328</v>
      </c>
      <c r="L42" s="15" t="s">
        <v>290</v>
      </c>
      <c r="M42" s="15"/>
      <c r="N42" s="16" t="s">
        <v>291</v>
      </c>
      <c r="O42" s="14" t="s">
        <v>103</v>
      </c>
      <c r="P42" s="12" t="s">
        <v>329</v>
      </c>
    </row>
    <row r="43" customFormat="false" ht="46.5" hidden="false" customHeight="true" outlineLevel="0" collapsed="false">
      <c r="A43" s="12" t="s">
        <v>330</v>
      </c>
      <c r="B43" s="13" t="s">
        <v>107</v>
      </c>
      <c r="C43" s="13" t="s">
        <v>331</v>
      </c>
      <c r="D43" s="12" t="s">
        <v>100</v>
      </c>
      <c r="E43" s="13" t="s">
        <v>332</v>
      </c>
      <c r="F43" s="13" t="s">
        <v>333</v>
      </c>
      <c r="G43" s="12" t="s">
        <v>334</v>
      </c>
      <c r="H43" s="13" t="s">
        <v>335</v>
      </c>
      <c r="I43" s="13" t="s">
        <v>336</v>
      </c>
      <c r="J43" s="13" t="s">
        <v>103</v>
      </c>
      <c r="K43" s="12"/>
      <c r="L43" s="12" t="s">
        <v>290</v>
      </c>
      <c r="M43" s="12"/>
      <c r="N43" s="13" t="s">
        <v>291</v>
      </c>
      <c r="O43" s="14" t="s">
        <v>114</v>
      </c>
      <c r="P43" s="12"/>
    </row>
    <row r="44" customFormat="false" ht="46.5" hidden="false" customHeight="true" outlineLevel="0" collapsed="false">
      <c r="A44" s="12" t="s">
        <v>337</v>
      </c>
      <c r="B44" s="13" t="s">
        <v>107</v>
      </c>
      <c r="C44" s="13" t="s">
        <v>338</v>
      </c>
      <c r="D44" s="12" t="s">
        <v>100</v>
      </c>
      <c r="E44" s="13" t="s">
        <v>339</v>
      </c>
      <c r="F44" s="12" t="s">
        <v>340</v>
      </c>
      <c r="G44" s="12" t="s">
        <v>100</v>
      </c>
      <c r="H44" s="12" t="s">
        <v>341</v>
      </c>
      <c r="I44" s="12" t="s">
        <v>342</v>
      </c>
      <c r="J44" s="13" t="s">
        <v>103</v>
      </c>
      <c r="K44" s="12"/>
      <c r="L44" s="12" t="s">
        <v>290</v>
      </c>
      <c r="M44" s="12"/>
      <c r="N44" s="13" t="s">
        <v>291</v>
      </c>
      <c r="O44" s="14" t="s">
        <v>114</v>
      </c>
      <c r="P44" s="12"/>
    </row>
    <row r="45" customFormat="false" ht="46.5" hidden="false" customHeight="true" outlineLevel="0" collapsed="false">
      <c r="A45" s="12" t="s">
        <v>343</v>
      </c>
      <c r="B45" s="13" t="s">
        <v>133</v>
      </c>
      <c r="C45" s="12" t="s">
        <v>134</v>
      </c>
      <c r="D45" s="12" t="s">
        <v>109</v>
      </c>
      <c r="E45" s="13" t="s">
        <v>344</v>
      </c>
      <c r="F45" s="12" t="s">
        <v>345</v>
      </c>
      <c r="G45" s="12" t="s">
        <v>346</v>
      </c>
      <c r="H45" s="13" t="s">
        <v>347</v>
      </c>
      <c r="I45" s="13" t="s">
        <v>348</v>
      </c>
      <c r="J45" s="13" t="s">
        <v>103</v>
      </c>
      <c r="K45" s="12"/>
      <c r="L45" s="12" t="s">
        <v>290</v>
      </c>
      <c r="M45" s="12"/>
      <c r="N45" s="14" t="s">
        <v>349</v>
      </c>
      <c r="O45" s="12" t="s">
        <v>290</v>
      </c>
      <c r="P45" s="12"/>
    </row>
    <row r="46" customFormat="false" ht="46.5" hidden="false" customHeight="true" outlineLevel="0" collapsed="false">
      <c r="A46" s="12" t="s">
        <v>350</v>
      </c>
      <c r="B46" s="13" t="s">
        <v>133</v>
      </c>
      <c r="C46" s="12" t="s">
        <v>134</v>
      </c>
      <c r="D46" s="12" t="s">
        <v>109</v>
      </c>
      <c r="E46" s="13" t="s">
        <v>351</v>
      </c>
      <c r="F46" s="12" t="s">
        <v>345</v>
      </c>
      <c r="G46" s="14" t="s">
        <v>352</v>
      </c>
      <c r="H46" s="13" t="s">
        <v>347</v>
      </c>
      <c r="I46" s="13" t="s">
        <v>353</v>
      </c>
      <c r="J46" s="13" t="s">
        <v>103</v>
      </c>
      <c r="K46" s="12"/>
      <c r="L46" s="12" t="s">
        <v>290</v>
      </c>
      <c r="M46" s="12"/>
      <c r="N46" s="14" t="s">
        <v>349</v>
      </c>
      <c r="O46" s="12" t="s">
        <v>290</v>
      </c>
      <c r="P46" s="12"/>
    </row>
    <row r="47" customFormat="false" ht="46.5" hidden="false" customHeight="true" outlineLevel="0" collapsed="false">
      <c r="A47" s="12" t="s">
        <v>354</v>
      </c>
      <c r="B47" s="13" t="s">
        <v>133</v>
      </c>
      <c r="C47" s="12" t="s">
        <v>134</v>
      </c>
      <c r="D47" s="12" t="s">
        <v>109</v>
      </c>
      <c r="E47" s="13" t="s">
        <v>355</v>
      </c>
      <c r="F47" s="12" t="s">
        <v>345</v>
      </c>
      <c r="G47" s="14" t="s">
        <v>356</v>
      </c>
      <c r="H47" s="13" t="s">
        <v>357</v>
      </c>
      <c r="I47" s="13" t="s">
        <v>358</v>
      </c>
      <c r="J47" s="13" t="s">
        <v>103</v>
      </c>
      <c r="K47" s="12"/>
      <c r="L47" s="12" t="s">
        <v>290</v>
      </c>
      <c r="M47" s="12"/>
      <c r="N47" s="14" t="s">
        <v>349</v>
      </c>
      <c r="O47" s="12" t="s">
        <v>290</v>
      </c>
      <c r="P47" s="12"/>
    </row>
    <row r="48" customFormat="false" ht="46.5" hidden="false" customHeight="true" outlineLevel="0" collapsed="false">
      <c r="A48" s="12" t="s">
        <v>359</v>
      </c>
      <c r="B48" s="13" t="s">
        <v>133</v>
      </c>
      <c r="C48" s="12" t="s">
        <v>134</v>
      </c>
      <c r="D48" s="12" t="s">
        <v>98</v>
      </c>
      <c r="E48" s="13" t="s">
        <v>360</v>
      </c>
      <c r="F48" s="12" t="s">
        <v>134</v>
      </c>
      <c r="G48" s="14" t="s">
        <v>361</v>
      </c>
      <c r="H48" s="13" t="s">
        <v>362</v>
      </c>
      <c r="I48" s="13" t="s">
        <v>363</v>
      </c>
      <c r="J48" s="13" t="s">
        <v>103</v>
      </c>
      <c r="K48" s="12"/>
      <c r="L48" s="12" t="s">
        <v>290</v>
      </c>
      <c r="M48" s="12"/>
      <c r="N48" s="14" t="s">
        <v>349</v>
      </c>
      <c r="O48" s="12" t="s">
        <v>290</v>
      </c>
      <c r="P48" s="12"/>
    </row>
    <row r="49" customFormat="false" ht="46.5" hidden="false" customHeight="true" outlineLevel="0" collapsed="false">
      <c r="A49" s="12" t="s">
        <v>364</v>
      </c>
      <c r="B49" s="13" t="s">
        <v>133</v>
      </c>
      <c r="C49" s="12" t="s">
        <v>134</v>
      </c>
      <c r="D49" s="12" t="s">
        <v>98</v>
      </c>
      <c r="E49" s="13" t="s">
        <v>365</v>
      </c>
      <c r="F49" s="12" t="s">
        <v>318</v>
      </c>
      <c r="G49" s="14" t="s">
        <v>366</v>
      </c>
      <c r="H49" s="13" t="s">
        <v>367</v>
      </c>
      <c r="I49" s="13" t="s">
        <v>368</v>
      </c>
      <c r="J49" s="13" t="s">
        <v>103</v>
      </c>
      <c r="K49" s="12"/>
      <c r="L49" s="12" t="s">
        <v>290</v>
      </c>
      <c r="M49" s="12"/>
      <c r="N49" s="14" t="s">
        <v>349</v>
      </c>
      <c r="O49" s="12" t="s">
        <v>290</v>
      </c>
      <c r="P49" s="12"/>
    </row>
    <row r="50" customFormat="false" ht="46.5" hidden="false" customHeight="true" outlineLevel="0" collapsed="false">
      <c r="A50" s="12" t="s">
        <v>369</v>
      </c>
      <c r="B50" s="13" t="s">
        <v>133</v>
      </c>
      <c r="C50" s="12" t="s">
        <v>134</v>
      </c>
      <c r="D50" s="12" t="s">
        <v>98</v>
      </c>
      <c r="E50" s="13" t="s">
        <v>370</v>
      </c>
      <c r="F50" s="12" t="s">
        <v>134</v>
      </c>
      <c r="G50" s="14" t="s">
        <v>371</v>
      </c>
      <c r="H50" s="13" t="s">
        <v>372</v>
      </c>
      <c r="I50" s="13" t="s">
        <v>373</v>
      </c>
      <c r="J50" s="13" t="s">
        <v>103</v>
      </c>
      <c r="K50" s="12"/>
      <c r="L50" s="12" t="s">
        <v>290</v>
      </c>
      <c r="M50" s="12"/>
      <c r="N50" s="14" t="s">
        <v>349</v>
      </c>
      <c r="O50" s="12" t="s">
        <v>290</v>
      </c>
      <c r="P50" s="12"/>
    </row>
    <row r="51" customFormat="false" ht="46.5" hidden="false" customHeight="true" outlineLevel="0" collapsed="false">
      <c r="A51" s="12" t="s">
        <v>374</v>
      </c>
      <c r="B51" s="13" t="s">
        <v>133</v>
      </c>
      <c r="C51" s="14" t="s">
        <v>331</v>
      </c>
      <c r="D51" s="12" t="s">
        <v>100</v>
      </c>
      <c r="E51" s="13" t="s">
        <v>375</v>
      </c>
      <c r="F51" s="14" t="s">
        <v>376</v>
      </c>
      <c r="G51" s="14" t="s">
        <v>377</v>
      </c>
      <c r="H51" s="13" t="s">
        <v>378</v>
      </c>
      <c r="I51" s="13" t="s">
        <v>379</v>
      </c>
      <c r="J51" s="13" t="s">
        <v>103</v>
      </c>
      <c r="K51" s="12"/>
      <c r="L51" s="12" t="s">
        <v>290</v>
      </c>
      <c r="M51" s="12"/>
      <c r="N51" s="14" t="s">
        <v>349</v>
      </c>
      <c r="O51" s="12" t="s">
        <v>290</v>
      </c>
      <c r="P51" s="12"/>
    </row>
    <row r="52" customFormat="false" ht="46.5" hidden="false" customHeight="true" outlineLevel="0" collapsed="false">
      <c r="A52" s="12" t="s">
        <v>380</v>
      </c>
      <c r="B52" s="13" t="s">
        <v>133</v>
      </c>
      <c r="C52" s="14" t="s">
        <v>331</v>
      </c>
      <c r="D52" s="12" t="s">
        <v>100</v>
      </c>
      <c r="E52" s="13" t="s">
        <v>381</v>
      </c>
      <c r="F52" s="14" t="s">
        <v>376</v>
      </c>
      <c r="G52" s="14" t="s">
        <v>382</v>
      </c>
      <c r="H52" s="13" t="s">
        <v>383</v>
      </c>
      <c r="I52" s="13" t="s">
        <v>384</v>
      </c>
      <c r="J52" s="13" t="s">
        <v>103</v>
      </c>
      <c r="K52" s="12"/>
      <c r="L52" s="12" t="s">
        <v>290</v>
      </c>
      <c r="M52" s="12"/>
      <c r="N52" s="14" t="s">
        <v>349</v>
      </c>
      <c r="O52" s="12" t="s">
        <v>290</v>
      </c>
      <c r="P52" s="12"/>
    </row>
  </sheetData>
  <autoFilter ref="A1:P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9" width="12"/>
    <col collapsed="false" customWidth="true" hidden="false" outlineLevel="0" max="3" min="3" style="9" width="16"/>
    <col collapsed="false" customWidth="true" hidden="false" outlineLevel="0" max="4" min="4" style="9" width="40"/>
    <col collapsed="false" customWidth="true" hidden="false" outlineLevel="0" max="6" min="5" style="9" width="35"/>
    <col collapsed="false" customWidth="true" hidden="false" outlineLevel="0" max="7" min="7" style="9" width="10"/>
    <col collapsed="false" customWidth="true" hidden="false" outlineLevel="0" max="8" min="8" style="9" width="14"/>
    <col collapsed="false" customWidth="true" hidden="false" outlineLevel="0" max="9" min="9" style="9" width="46"/>
    <col collapsed="false" customWidth="true" hidden="false" outlineLevel="0" max="11" min="10" style="9" width="12"/>
    <col collapsed="false" customWidth="true" hidden="false" outlineLevel="0" max="12" min="12" style="9" width="14"/>
    <col collapsed="false" customWidth="true" hidden="false" outlineLevel="0" max="13" min="13" style="9" width="46"/>
  </cols>
  <sheetData>
    <row r="1" customFormat="false" ht="39.75" hidden="false" customHeight="true" outlineLevel="0" collapsed="false">
      <c r="A1" s="18" t="s">
        <v>89</v>
      </c>
      <c r="B1" s="19" t="s">
        <v>80</v>
      </c>
      <c r="C1" s="19" t="s">
        <v>81</v>
      </c>
      <c r="D1" s="19" t="s">
        <v>385</v>
      </c>
      <c r="E1" s="19" t="s">
        <v>86</v>
      </c>
      <c r="F1" s="19" t="s">
        <v>87</v>
      </c>
      <c r="G1" s="19" t="s">
        <v>386</v>
      </c>
      <c r="H1" s="19" t="s">
        <v>387</v>
      </c>
      <c r="I1" s="19" t="s">
        <v>388</v>
      </c>
      <c r="J1" s="19" t="s">
        <v>389</v>
      </c>
      <c r="K1" s="19" t="s">
        <v>390</v>
      </c>
      <c r="L1" s="19" t="s">
        <v>391</v>
      </c>
      <c r="M1" s="19" t="s">
        <v>92</v>
      </c>
    </row>
    <row r="2" customFormat="false" ht="45" hidden="false" customHeight="true" outlineLevel="0" collapsed="false">
      <c r="A2" s="4" t="s">
        <v>146</v>
      </c>
      <c r="B2" s="20" t="s">
        <v>133</v>
      </c>
      <c r="C2" s="4" t="s">
        <v>134</v>
      </c>
      <c r="D2" s="20" t="s">
        <v>392</v>
      </c>
      <c r="E2" s="20" t="s">
        <v>393</v>
      </c>
      <c r="F2" s="20" t="s">
        <v>144</v>
      </c>
      <c r="G2" s="21" t="s">
        <v>394</v>
      </c>
      <c r="H2" s="22" t="s">
        <v>394</v>
      </c>
      <c r="I2" s="23" t="s">
        <v>395</v>
      </c>
      <c r="J2" s="22" t="s">
        <v>396</v>
      </c>
      <c r="K2" s="22" t="s">
        <v>397</v>
      </c>
      <c r="L2" s="24" t="s">
        <v>22</v>
      </c>
      <c r="M2" s="21" t="s">
        <v>398</v>
      </c>
    </row>
    <row r="3" customFormat="false" ht="45" hidden="false" customHeight="true" outlineLevel="0" collapsed="false">
      <c r="A3" s="4" t="s">
        <v>153</v>
      </c>
      <c r="B3" s="20" t="s">
        <v>133</v>
      </c>
      <c r="C3" s="4" t="s">
        <v>134</v>
      </c>
      <c r="D3" s="20" t="s">
        <v>399</v>
      </c>
      <c r="E3" s="20" t="s">
        <v>400</v>
      </c>
      <c r="F3" s="20" t="s">
        <v>144</v>
      </c>
      <c r="G3" s="21" t="s">
        <v>394</v>
      </c>
      <c r="H3" s="22" t="s">
        <v>394</v>
      </c>
      <c r="I3" s="23" t="s">
        <v>401</v>
      </c>
      <c r="J3" s="22" t="s">
        <v>396</v>
      </c>
      <c r="K3" s="22" t="s">
        <v>397</v>
      </c>
      <c r="L3" s="24" t="s">
        <v>22</v>
      </c>
      <c r="M3" s="21" t="s">
        <v>402</v>
      </c>
    </row>
    <row r="4" customFormat="false" ht="45" hidden="false" customHeight="true" outlineLevel="0" collapsed="false">
      <c r="A4" s="4" t="s">
        <v>210</v>
      </c>
      <c r="B4" s="20" t="s">
        <v>96</v>
      </c>
      <c r="C4" s="4" t="s">
        <v>97</v>
      </c>
      <c r="D4" s="20" t="s">
        <v>403</v>
      </c>
      <c r="E4" s="20" t="s">
        <v>171</v>
      </c>
      <c r="F4" s="20" t="s">
        <v>209</v>
      </c>
      <c r="G4" s="25" t="s">
        <v>404</v>
      </c>
      <c r="H4" s="26" t="s">
        <v>404</v>
      </c>
      <c r="I4" s="27" t="s">
        <v>405</v>
      </c>
      <c r="J4" s="26" t="s">
        <v>396</v>
      </c>
      <c r="K4" s="26" t="s">
        <v>397</v>
      </c>
      <c r="L4" s="28" t="s">
        <v>22</v>
      </c>
      <c r="M4" s="25" t="s">
        <v>406</v>
      </c>
    </row>
    <row r="5" customFormat="false" ht="60" hidden="false" customHeight="true" outlineLevel="0" collapsed="false">
      <c r="A5" s="4" t="s">
        <v>289</v>
      </c>
      <c r="B5" s="20" t="s">
        <v>107</v>
      </c>
      <c r="C5" s="4" t="s">
        <v>108</v>
      </c>
      <c r="D5" s="20" t="s">
        <v>407</v>
      </c>
      <c r="E5" s="20" t="s">
        <v>408</v>
      </c>
      <c r="F5" s="20" t="s">
        <v>409</v>
      </c>
      <c r="G5" s="25" t="s">
        <v>404</v>
      </c>
      <c r="H5" s="26" t="s">
        <v>404</v>
      </c>
      <c r="I5" s="27" t="s">
        <v>410</v>
      </c>
      <c r="J5" s="26" t="s">
        <v>396</v>
      </c>
      <c r="K5" s="26" t="s">
        <v>397</v>
      </c>
      <c r="L5" s="28" t="s">
        <v>22</v>
      </c>
      <c r="M5" s="25" t="s">
        <v>411</v>
      </c>
    </row>
    <row r="6" customFormat="false" ht="60" hidden="false" customHeight="true" outlineLevel="0" collapsed="false">
      <c r="A6" s="4" t="s">
        <v>245</v>
      </c>
      <c r="B6" s="20" t="s">
        <v>107</v>
      </c>
      <c r="C6" s="4" t="s">
        <v>108</v>
      </c>
      <c r="D6" s="20" t="s">
        <v>412</v>
      </c>
      <c r="E6" s="20" t="s">
        <v>413</v>
      </c>
      <c r="F6" s="20" t="s">
        <v>414</v>
      </c>
      <c r="G6" s="25" t="s">
        <v>404</v>
      </c>
      <c r="H6" s="26" t="s">
        <v>404</v>
      </c>
      <c r="I6" s="27" t="s">
        <v>415</v>
      </c>
      <c r="J6" s="26" t="s">
        <v>396</v>
      </c>
      <c r="K6" s="26" t="s">
        <v>397</v>
      </c>
      <c r="L6" s="28" t="s">
        <v>22</v>
      </c>
      <c r="M6" s="25" t="s">
        <v>416</v>
      </c>
    </row>
    <row r="7" customFormat="false" ht="45" hidden="false" customHeight="true" outlineLevel="0" collapsed="false">
      <c r="A7" s="4" t="s">
        <v>258</v>
      </c>
      <c r="B7" s="20" t="s">
        <v>96</v>
      </c>
      <c r="C7" s="4" t="s">
        <v>97</v>
      </c>
      <c r="D7" s="20" t="s">
        <v>417</v>
      </c>
      <c r="E7" s="20" t="s">
        <v>418</v>
      </c>
      <c r="F7" s="20" t="s">
        <v>209</v>
      </c>
      <c r="G7" s="21" t="s">
        <v>394</v>
      </c>
      <c r="H7" s="22" t="s">
        <v>394</v>
      </c>
      <c r="I7" s="23" t="s">
        <v>419</v>
      </c>
      <c r="J7" s="22" t="s">
        <v>396</v>
      </c>
      <c r="K7" s="22" t="s">
        <v>397</v>
      </c>
      <c r="L7" s="24" t="s">
        <v>22</v>
      </c>
      <c r="M7" s="21" t="s">
        <v>420</v>
      </c>
    </row>
    <row r="8" customFormat="false" ht="45" hidden="false" customHeight="true" outlineLevel="0" collapsed="false">
      <c r="A8" s="4" t="s">
        <v>263</v>
      </c>
      <c r="B8" s="20" t="s">
        <v>96</v>
      </c>
      <c r="C8" s="4" t="s">
        <v>97</v>
      </c>
      <c r="D8" s="20" t="s">
        <v>421</v>
      </c>
      <c r="E8" s="20" t="s">
        <v>400</v>
      </c>
      <c r="F8" s="20" t="s">
        <v>209</v>
      </c>
      <c r="G8" s="21" t="s">
        <v>394</v>
      </c>
      <c r="H8" s="22" t="s">
        <v>394</v>
      </c>
      <c r="I8" s="23" t="s">
        <v>422</v>
      </c>
      <c r="J8" s="22" t="s">
        <v>396</v>
      </c>
      <c r="K8" s="22" t="s">
        <v>397</v>
      </c>
      <c r="L8" s="24" t="s">
        <v>22</v>
      </c>
      <c r="M8" s="21" t="s">
        <v>423</v>
      </c>
    </row>
    <row r="9" customFormat="false" ht="46.5" hidden="false" customHeight="true" outlineLevel="0" collapsed="false">
      <c r="A9" s="4" t="s">
        <v>274</v>
      </c>
      <c r="B9" s="20" t="s">
        <v>133</v>
      </c>
      <c r="C9" s="4" t="s">
        <v>134</v>
      </c>
      <c r="D9" s="4" t="s">
        <v>424</v>
      </c>
      <c r="E9" s="20" t="s">
        <v>425</v>
      </c>
      <c r="F9" s="20" t="s">
        <v>426</v>
      </c>
      <c r="G9" s="29" t="s">
        <v>427</v>
      </c>
      <c r="H9" s="30" t="s">
        <v>427</v>
      </c>
      <c r="I9" s="31" t="s">
        <v>428</v>
      </c>
      <c r="J9" s="30" t="s">
        <v>396</v>
      </c>
      <c r="K9" s="30" t="s">
        <v>397</v>
      </c>
      <c r="L9" s="32" t="s">
        <v>22</v>
      </c>
      <c r="M9" s="29" t="s">
        <v>429</v>
      </c>
    </row>
    <row r="10" customFormat="false" ht="45" hidden="false" customHeight="true" outlineLevel="0" collapsed="false">
      <c r="A10" s="4" t="s">
        <v>282</v>
      </c>
      <c r="B10" s="20" t="s">
        <v>96</v>
      </c>
      <c r="C10" s="4" t="s">
        <v>97</v>
      </c>
      <c r="D10" s="20" t="s">
        <v>430</v>
      </c>
      <c r="E10" s="20" t="s">
        <v>431</v>
      </c>
      <c r="F10" s="20" t="s">
        <v>432</v>
      </c>
      <c r="G10" s="25" t="s">
        <v>404</v>
      </c>
      <c r="H10" s="26" t="s">
        <v>404</v>
      </c>
      <c r="I10" s="27" t="s">
        <v>433</v>
      </c>
      <c r="J10" s="26" t="s">
        <v>396</v>
      </c>
      <c r="K10" s="26" t="s">
        <v>397</v>
      </c>
      <c r="L10" s="28" t="s">
        <v>22</v>
      </c>
      <c r="M10" s="25" t="s">
        <v>434</v>
      </c>
    </row>
    <row r="11" customFormat="false" ht="60" hidden="false" customHeight="true" outlineLevel="0" collapsed="false">
      <c r="A11" s="4" t="s">
        <v>314</v>
      </c>
      <c r="B11" s="20" t="s">
        <v>133</v>
      </c>
      <c r="C11" s="4" t="s">
        <v>134</v>
      </c>
      <c r="D11" s="20" t="s">
        <v>435</v>
      </c>
      <c r="E11" s="20" t="s">
        <v>436</v>
      </c>
      <c r="F11" s="20" t="s">
        <v>437</v>
      </c>
      <c r="G11" s="25" t="s">
        <v>427</v>
      </c>
      <c r="H11" s="26" t="s">
        <v>427</v>
      </c>
      <c r="I11" s="27" t="s">
        <v>438</v>
      </c>
      <c r="J11" s="26" t="s">
        <v>396</v>
      </c>
      <c r="K11" s="33" t="s">
        <v>397</v>
      </c>
      <c r="L11" s="28" t="s">
        <v>22</v>
      </c>
      <c r="M11" s="25" t="s">
        <v>439</v>
      </c>
    </row>
    <row r="12" customFormat="false" ht="60" hidden="false" customHeight="true" outlineLevel="0" collapsed="false">
      <c r="A12" s="4" t="s">
        <v>321</v>
      </c>
      <c r="B12" s="20" t="s">
        <v>133</v>
      </c>
      <c r="C12" s="4" t="s">
        <v>134</v>
      </c>
      <c r="D12" s="20" t="s">
        <v>440</v>
      </c>
      <c r="E12" s="20" t="s">
        <v>441</v>
      </c>
      <c r="F12" s="20" t="s">
        <v>442</v>
      </c>
      <c r="G12" s="25" t="s">
        <v>427</v>
      </c>
      <c r="H12" s="26" t="s">
        <v>427</v>
      </c>
      <c r="I12" s="27" t="s">
        <v>443</v>
      </c>
      <c r="J12" s="26" t="s">
        <v>396</v>
      </c>
      <c r="K12" s="33" t="s">
        <v>397</v>
      </c>
      <c r="L12" s="28" t="s">
        <v>22</v>
      </c>
      <c r="M12" s="25" t="s">
        <v>444</v>
      </c>
    </row>
    <row r="13" customFormat="false" ht="72.75" hidden="false" customHeight="true" outlineLevel="0" collapsed="false">
      <c r="A13" s="4" t="s">
        <v>328</v>
      </c>
      <c r="B13" s="20" t="s">
        <v>107</v>
      </c>
      <c r="C13" s="4" t="s">
        <v>108</v>
      </c>
      <c r="D13" s="20" t="s">
        <v>445</v>
      </c>
      <c r="E13" s="20" t="s">
        <v>446</v>
      </c>
      <c r="F13" s="20" t="s">
        <v>447</v>
      </c>
      <c r="G13" s="25" t="s">
        <v>427</v>
      </c>
      <c r="H13" s="26" t="s">
        <v>427</v>
      </c>
      <c r="I13" s="27" t="s">
        <v>448</v>
      </c>
      <c r="J13" s="26" t="s">
        <v>396</v>
      </c>
      <c r="K13" s="33" t="s">
        <v>397</v>
      </c>
      <c r="L13" s="28" t="s">
        <v>22</v>
      </c>
      <c r="M13" s="25" t="s">
        <v>449</v>
      </c>
    </row>
  </sheetData>
  <autoFilter ref="A1:M13"/>
  <dataValidations count="2">
    <dataValidation allowBlank="true" errorStyle="stop" operator="between" showDropDown="false" showErrorMessage="false" showInputMessage="false" sqref="J2:J200" type="list">
      <formula1>"新建,已修复,未修复,延期,不予修复,无法复现"</formula1>
      <formula2>0</formula2>
    </dataValidation>
    <dataValidation allowBlank="true" errorStyle="stop" operator="between" showDropDown="false" showErrorMessage="false" showInputMessage="false" sqref="H2:H200" type="list">
      <formula1>"高,中,低"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2026-10-10T08:45:31Z</dcterms:created>
  <dc:creator>openpyxl</dc:creator>
  <dc:description/>
  <dc:language>en-US</dc:language>
  <cp:lastModifiedBy/>
  <dcterms:modified xsi:type="dcterms:W3CDTF">2026-10-18T09:54:14Z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